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5562a6278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lay Register" sheetId="1" r:id="Rdace7e65b2364b7e"/>
    <x:sheet xmlns:r="http://schemas.openxmlformats.org/officeDocument/2006/relationships" name="Pilot Dashboard" sheetId="2" r:id="Rd4873ab825a9461b"/>
    <x:sheet xmlns:r="http://schemas.openxmlformats.org/officeDocument/2006/relationships" name="Guidance" sheetId="3" r:id="Ra23dc3c494654d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3"/>
      <x:color rgb="FF006B35"/>
      <x:name val="Carlito"/>
    </x:font>
    <x:font>
      <x:b/>
      <x:sz val="11"/>
      <x:color rgb="FF006B3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8C44"/>
      </x:patternFill>
    </x:fill>
    <x:fill>
      <x:patternFill patternType="solid">
        <x:fgColor rgb="FF163F2A"/>
      </x:patternFill>
    </x:fill>
    <x:fill>
      <x:patternFill patternType="solid">
        <x:fgColor rgb="FFEFF8F3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006B35"/>
      </x:font>
      <x:fill>
        <x:patternFill patternType="solid">
          <x:bgColor rgb="FFEFF8F3"/>
        </x:patternFill>
      </x:fill>
    </x:dxf>
    <x:dxf>
      <x:font>
        <x:b/>
        <x:color rgb="FF6F4A8E"/>
      </x:font>
      <x:fill>
        <x:patternFill patternType="solid">
          <x:bgColor rgb="FFF6F0FA"/>
        </x:patternFill>
      </x:fill>
    </x:dxf>
    <x:dxf>
      <x:font>
        <x:b/>
        <x:color rgb="FF8D4B00"/>
      </x:font>
      <x:fill>
        <x:patternFill patternType="solid">
          <x:bgColor rgb="FFFFF7E6"/>
        </x:patternFill>
      </x:fill>
    </x:dxf>
    <x:dxf>
      <x:font>
        <x:b/>
        <x:color rgb="FF1769AA"/>
      </x:font>
      <x:fill>
        <x:patternFill patternType="solid">
          <x:bgColor rgb="FFEEF6FB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3720894c54b89" /><Relationship Type="http://schemas.openxmlformats.org/officeDocument/2006/relationships/theme" Target="/xl/theme/theme1.xml" Id="R86f91cf627974c6a" /><Relationship Type="http://schemas.openxmlformats.org/officeDocument/2006/relationships/sharedStrings" Target="/xl/sharedStrings.xml" Id="Rc354bb7ab8114dbe" /><Relationship Type="http://schemas.openxmlformats.org/officeDocument/2006/relationships/worksheet" Target="/xl/worksheets/sheet1.xml" Id="Rdace7e65b2364b7e" /><Relationship Type="http://schemas.openxmlformats.org/officeDocument/2006/relationships/worksheet" Target="/xl/worksheets/sheet2.xml" Id="Rd4873ab825a9461b" /><Relationship Type="http://schemas.openxmlformats.org/officeDocument/2006/relationships/worksheet" Target="/xl/worksheets/sheet3.xml" Id="Ra23dc3c494654d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04a5583c064f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Overlay Mix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'Pilot Dashboard'!$D$4:$D$8</c:f>
              <c:strCache>
                <c:ptCount val="0"/>
              </c:strCache>
            </c:strRef>
          </c:cat>
          <c:val>
            <c:numRef>
              <c:f>'Pilot Dashboard'!$E$4:$E$8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04a5583c064f5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verlayRegisterTable" displayName="OverlayRegisterTable" ref="A1:X200" headerRowCount="1" totalsRowCount="0" totalsRowShown="0">
  <x:tableColumns count="24">
    <x:tableColumn id="1" name="Overlay ID"/>
    <x:tableColumn id="2" name="Date"/>
    <x:tableColumn id="3" name="Window"/>
    <x:tableColumn id="4" name="Category"/>
    <x:tableColumn id="5" name="Programme / Area"/>
    <x:tableColumn id="6" name="Location / Context"/>
    <x:tableColumn id="7" name="Related Core Theme"/>
    <x:tableColumn id="8" name="Content / Activity"/>
    <x:tableColumn id="9" name="Format"/>
    <x:tableColumn id="10" name="Evidence / Source"/>
    <x:tableColumn id="11" name="Evidence Status"/>
    <x:tableColumn id="12" name="Safeguarding / Consent"/>
    <x:tableColumn id="13" name="Approval Status"/>
    <x:tableColumn id="14" name="Platform"/>
    <x:tableColumn id="15" name="Publication Status"/>
    <x:tableColumn id="16" name="Post URL"/>
    <x:tableColumn id="17" name="Reach"/>
    <x:tableColumn id="18" name="Engagements"/>
    <x:tableColumn id="19" name="Shares"/>
    <x:tableColumn id="20" name="Saves"/>
    <x:tableColumn id="21" name="Comments"/>
    <x:tableColumn id="22" name="Useful Response / Learning"/>
    <x:tableColumn id="23" name="Safeguarding / Privacy Issue"/>
    <x:tableColumn id="2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959034b93246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d77d3bf50c74f2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2" hidden="0" customWidth="1"/>
    <x:col min="4" max="4" width="12" hidden="0" customWidth="1"/>
    <x:col min="5" max="5" width="18" hidden="0" customWidth="1"/>
    <x:col min="6" max="6" width="22" hidden="0" customWidth="1"/>
    <x:col min="7" max="7" width="18" hidden="0" customWidth="1"/>
    <x:col min="8" max="8" width="34" hidden="0" customWidth="1"/>
    <x:col min="9" max="9" width="22" hidden="0" customWidth="1"/>
    <x:col min="10" max="10" width="38" hidden="0" customWidth="1"/>
    <x:col min="11" max="11" width="22" hidden="0" customWidth="1"/>
    <x:col min="12" max="12" width="28" hidden="0" customWidth="1"/>
    <x:col min="13" max="13" width="24" hidden="0" customWidth="1"/>
    <x:col min="14" max="14" width="18" hidden="0" customWidth="1"/>
    <x:col min="15" max="15" width="20" hidden="0" customWidth="1"/>
    <x:col min="16" max="16" width="30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42" hidden="0" customWidth="1"/>
    <x:col min="23" max="23" width="24" hidden="0" customWidth="1"/>
    <x:col min="24" max="24" width="42" hidden="0" customWidth="1"/>
  </x:cols>
  <x:sheetData>
    <x:row r="1" ht="36" customHeight="1">
      <x:c r="A1" s="6" t="str">
        <x:v>Overlay ID</x:v>
      </x:c>
      <x:c r="B1" s="6" t="str">
        <x:v>Date</x:v>
      </x:c>
      <x:c r="C1" s="6" t="str">
        <x:v>Window</x:v>
      </x:c>
      <x:c r="D1" s="6" t="str">
        <x:v>Category</x:v>
      </x:c>
      <x:c r="E1" s="6" t="str">
        <x:v>Programme / Area</x:v>
      </x:c>
      <x:c r="F1" s="6" t="str">
        <x:v>Location / Context</x:v>
      </x:c>
      <x:c r="G1" s="6" t="str">
        <x:v>Related Core Theme</x:v>
      </x:c>
      <x:c r="H1" s="6" t="str">
        <x:v>Content / Activity</x:v>
      </x:c>
      <x:c r="I1" s="6" t="str">
        <x:v>Format</x:v>
      </x:c>
      <x:c r="J1" s="6" t="str">
        <x:v>Evidence / Source</x:v>
      </x:c>
      <x:c r="K1" s="6" t="str">
        <x:v>Evidence Status</x:v>
      </x:c>
      <x:c r="L1" s="6" t="str">
        <x:v>Safeguarding / Consent</x:v>
      </x:c>
      <x:c r="M1" s="6" t="str">
        <x:v>Approval Status</x:v>
      </x:c>
      <x:c r="N1" s="6" t="str">
        <x:v>Platform</x:v>
      </x:c>
      <x:c r="O1" s="6" t="str">
        <x:v>Publication Status</x:v>
      </x:c>
      <x:c r="P1" s="6" t="str">
        <x:v>Post URL</x:v>
      </x:c>
      <x:c r="Q1" s="6" t="str">
        <x:v>Reach</x:v>
      </x:c>
      <x:c r="R1" s="6" t="str">
        <x:v>Engagements</x:v>
      </x:c>
      <x:c r="S1" s="6" t="str">
        <x:v>Shares</x:v>
      </x:c>
      <x:c r="T1" s="6" t="str">
        <x:v>Saves</x:v>
      </x:c>
      <x:c r="U1" s="6" t="str">
        <x:v>Comments</x:v>
      </x:c>
      <x:c r="V1" s="6" t="str">
        <x:v>Useful Response / Learning</x:v>
      </x:c>
      <x:c r="W1" s="6" t="str">
        <x:v>Safeguarding / Privacy Issue</x:v>
      </x:c>
      <x:c r="X1" s="6" t="str">
        <x:v>Notes</x:v>
      </x:c>
    </x:row>
    <x:row r="2">
      <x:c r="A2" s="14" t="str">
        <x:v>FIELD-001</x:v>
      </x:c>
      <x:c r="B2" s="14" t="str">
        <x:v>2026-09-01</x:v>
      </x:c>
      <x:c r="C2" s="14" t="str">
        <x:v>Morning · 9:00–10:00 AM</x:v>
      </x:c>
      <x:c r="D2" s="14" t="str">
        <x:v>FIELD</x:v>
      </x:c>
      <x:c r="E2" s="14" t="str">
        <x:v>E4BL</x:v>
      </x:c>
      <x:c r="F2" s="14" t="str">
        <x:v>Hazaribagh</x:v>
      </x:c>
      <x:c r="G2" s="14" t="str"/>
      <x:c r="H2" s="14" t="str">
        <x:v>Learning Material Distribution</x:v>
      </x:c>
      <x:c r="I2" s="14" t="str">
        <x:v>Photo-led field post</x:v>
      </x:c>
      <x:c r="J2" s="14" t="str">
        <x:v>HSF project handover + approved activity media/record</x:v>
      </x:c>
      <x:c r="K2" s="14" t="str">
        <x:v>Observed / documented</x:v>
      </x:c>
      <x:c r="L2" s="14" t="str">
        <x:v>To confirm before publication</x:v>
      </x:c>
      <x:c r="M2" s="14" t="str">
        <x:v>Draft / pending approval</x:v>
      </x:c>
      <x:c r="N2" s="14" t="str">
        <x:v>Facebook</x:v>
      </x:c>
      <x:c r="O2" s="14" t="str">
        <x:v>Planned</x:v>
      </x:c>
      <x:c r="P2" s="14" t="str"/>
      <x:c r="Q2" s="14" t="str"/>
      <x:c r="R2" s="14" t="str"/>
      <x:c r="S2" s="14" t="str"/>
      <x:c r="T2" s="14" t="str"/>
      <x:c r="U2" s="14" t="str"/>
      <x:c r="V2" s="14" t="str">
        <x:v>Starter pilot item. Final caption must stay within verified activity facts.</x:v>
      </x:c>
      <x:c r="W2" s="14" t="str">
        <x:v>None recorded</x:v>
      </x:c>
      <x:c r="X2" s="14" t="str">
        <x:v>Do not infer student count, material value, donor identity, academic outcome or longer-term impact.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</x:row>
  </x:sheetData>
  <x:conditionalFormatting sqref="D2:D200">
    <x:cfRule type="expression" dxfId="0" priority="1">
      <x:formula>D2="FIELD"</x:formula>
    </x:cfRule>
    <x:cfRule type="expression" dxfId="1" priority="2">
      <x:formula>D2="MOMENT"</x:formula>
    </x:cfRule>
    <x:cfRule type="expression" dxfId="2" priority="3">
      <x:formula>D2="EVENT"</x:formula>
    </x:cfRule>
    <x:cfRule type="expression" dxfId="3" priority="4">
      <x:formula>D2="OBS"</x:formula>
    </x:cfRule>
  </x:conditionalFormatting>
  <x:conditionalFormatting sqref="W2:W200">
    <x:cfRule type="expression" dxfId="4" priority="5">
      <x:formula>OR(W2="Issue identified",W2="Incident escalated")</x:formula>
    </x:cfRule>
  </x:conditionalFormatting>
  <x:dataValidations count="9">
    <x:dataValidation type="list" sqref="C2:C200">
      <x:formula1>"Morning · 9:00–10:00 AM,Exact date / observance,Flexible window,Other approved window"</x:formula1>
    </x:dataValidation>
    <x:dataValidation type="list" sqref="D2:D200">
      <x:formula1>"OBS,HSF,FIELD,EVENT,MOMENT"</x:formula1>
    </x:dataValidation>
    <x:dataValidation type="list" sqref="E2:E200">
      <x:formula1>"E4BL,A2PHC,Climate Action,HSF Institutional,Cross-programme,Other approved"</x:formula1>
    </x:dataValidation>
    <x:dataValidation type="list" sqref="K2:K200">
      <x:formula1>"Verified,Observed / documented,Calculated,Inferred / estimated,Pending verification"</x:formula1>
    </x:dataValidation>
    <x:dataValidation type="list" sqref="L2:L200">
      <x:formula1>"Confirmed / complete,To confirm before publication,Restricted / do not publish,Not applicable"</x:formula1>
    </x:dataValidation>
    <x:dataValidation type="list" sqref="M2:M200">
      <x:formula1>"Draft / pending approval,Fact / technical check complete,Safeguarding / privacy check complete,Management approved,Rejected / hold"</x:formula1>
    </x:dataValidation>
    <x:dataValidation type="list" sqref="N2:N200">
      <x:formula1>"Facebook,Instagram,LinkedIn,Facebook + Instagram,Facebook + LinkedIn,All approved platforms"</x:formula1>
    </x:dataValidation>
    <x:dataValidation type="list" sqref="O2:O200">
      <x:formula1>"Planned,Drafted,Scheduled,Published,Skipped,Held"</x:formula1>
    </x:dataValidation>
    <x:dataValidation type="list" sqref="W2:W200">
      <x:formula1>"None recorded,Near miss,Issue identified,Incident escalated"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959034b93246e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24" hidden="0" customWidth="1"/>
    <x:col min="5" max="5" width="24" hidden="0" customWidth="1"/>
    <x:col min="7" max="7" width="24" hidden="0" customWidth="1"/>
    <x:col min="8" max="8" width="24" hidden="0" customWidth="1"/>
  </x:cols>
  <x:sheetData>
    <x:row r="1" ht="30" customHeight="1">
      <x:c r="A1" s="19" t="str">
        <x:v>HSF Social Communication — September 2026 Pilot Dashboard</x:v>
      </x:c>
      <x:c r="B1" s="19"/>
      <x:c r="C1" s="19"/>
      <x:c r="D1" s="19"/>
      <x:c r="E1" s="19"/>
      <x:c r="F1" s="19"/>
      <x:c r="G1" s="19"/>
      <x:c r="H1" s="19"/>
    </x:row>
    <x:row r="3">
      <x:c r="A3" s="3" t="str">
        <x:v>KPI</x:v>
      </x:c>
      <x:c r="B3" s="3" t="str">
        <x:v>Value</x:v>
      </x:c>
      <x:c r="D3" s="3" t="str">
        <x:v>Category</x:v>
      </x:c>
      <x:c r="E3" s="3" t="str">
        <x:v>Count</x:v>
      </x:c>
      <x:c r="G3" s="3" t="str">
        <x:v>Programme / Area</x:v>
      </x:c>
      <x:c r="H3" s="3" t="str">
        <x:v>Count</x:v>
      </x:c>
    </x:row>
    <x:row r="4">
      <x:c r="A4" t="str">
        <x:v>Overlay items logged</x:v>
      </x:c>
      <x:c r="B4" t="n">
        <x:f>COUNTIF('Overlay Register'!A2:A200,"&lt;&gt;")</x:f>
        <x:v>1</x:v>
      </x:c>
      <x:c r="D4" t="str">
        <x:v>OBS</x:v>
      </x:c>
      <x:c r="E4" t="n">
        <x:f>COUNTIF('Overlay Register'!D2:D200,D4)</x:f>
        <x:v>0</x:v>
      </x:c>
      <x:c r="G4" t="str">
        <x:v>E4BL</x:v>
      </x:c>
      <x:c r="H4" t="n">
        <x:f>COUNTIF('Overlay Register'!E2:E200,G4)</x:f>
        <x:v>1</x:v>
      </x:c>
    </x:row>
    <x:row r="5">
      <x:c r="A5" t="str">
        <x:v>Published overlays</x:v>
      </x:c>
      <x:c r="B5" t="n">
        <x:f>COUNTIF('Overlay Register'!O2:O200,"Published")</x:f>
        <x:v>0</x:v>
      </x:c>
      <x:c r="D5" t="str">
        <x:v>HSF</x:v>
      </x:c>
      <x:c r="E5" t="n">
        <x:f>COUNTIF('Overlay Register'!D2:D200,D5)</x:f>
        <x:v>0</x:v>
      </x:c>
      <x:c r="G5" t="str">
        <x:v>A2PHC</x:v>
      </x:c>
      <x:c r="H5" t="n">
        <x:f>COUNTIF('Overlay Register'!E2:E200,G5)</x:f>
        <x:v>0</x:v>
      </x:c>
    </x:row>
    <x:row r="6">
      <x:c r="A6" t="str">
        <x:v>Skipped morning windows</x:v>
      </x:c>
      <x:c r="B6" t="n">
        <x:f>COUNTIF('Overlay Register'!O2:O200,"Skipped")</x:f>
        <x:v>0</x:v>
      </x:c>
      <x:c r="D6" t="str">
        <x:v>FIELD</x:v>
      </x:c>
      <x:c r="E6" t="n">
        <x:f>COUNTIF('Overlay Register'!D2:D200,D6)</x:f>
        <x:v>1</x:v>
      </x:c>
      <x:c r="G6" t="str">
        <x:v>Climate Action</x:v>
      </x:c>
      <x:c r="H6" t="n">
        <x:f>COUNTIF('Overlay Register'!E2:E200,G6)</x:f>
        <x:v>0</x:v>
      </x:c>
    </x:row>
    <x:row r="7">
      <x:c r="A7" t="str">
        <x:v>Items with verified/observed evidence</x:v>
      </x:c>
      <x:c r="B7" t="n">
        <x:f>COUNTIF('Overlay Register'!K2:K200,"Verified")+COUNTIF('Overlay Register'!K2:K200,"Observed / documented")</x:f>
        <x:v>1</x:v>
      </x:c>
      <x:c r="D7" t="str">
        <x:v>EVENT</x:v>
      </x:c>
      <x:c r="E7" t="n">
        <x:f>COUNTIF('Overlay Register'!D2:D200,D7)</x:f>
        <x:v>0</x:v>
      </x:c>
      <x:c r="G7" t="str">
        <x:v>HSF Institutional</x:v>
      </x:c>
      <x:c r="H7" t="n">
        <x:f>COUNTIF('Overlay Register'!E2:E200,G7)</x:f>
        <x:v>0</x:v>
      </x:c>
    </x:row>
    <x:row r="8">
      <x:c r="A8" t="str">
        <x:v>Safeguarding/privacy issues</x:v>
      </x:c>
      <x:c r="B8" t="n">
        <x:f>COUNTIF('Overlay Register'!W2:W200,"Issue identified")+COUNTIF('Overlay Register'!W2:W200,"Incident escalated")</x:f>
        <x:v>0</x:v>
      </x:c>
      <x:c r="D8" t="str">
        <x:v>MOMENT</x:v>
      </x:c>
      <x:c r="E8" t="n">
        <x:f>COUNTIF('Overlay Register'!D2:D200,D8)</x:f>
        <x:v>0</x:v>
      </x:c>
      <x:c r="G8" t="str">
        <x:v>Cross-programme</x:v>
      </x:c>
      <x:c r="H8" t="n">
        <x:f>COUNTIF('Overlay Register'!E2:E200,G8)</x:f>
        <x:v>0</x:v>
      </x:c>
    </x:row>
    <x:row r="9">
      <x:c r="A9" t="str">
        <x:v>Management-approved items</x:v>
      </x:c>
      <x:c r="B9" t="n">
        <x:f>COUNTIF('Overlay Register'!M2:M200,"Management approved")</x:f>
        <x:v>0</x:v>
      </x:c>
      <x:c r="D9" t="str">
        <x:v>Total</x:v>
      </x:c>
      <x:c r="E9" t="n">
        <x:f>SUM(E4:E8)</x:f>
        <x:v>1</x:v>
      </x:c>
      <x:c r="G9" t="str">
        <x:v>Other approved</x:v>
      </x:c>
      <x:c r="H9" t="n">
        <x:f>COUNTIF('Overlay Register'!E2:E200,G9)</x:f>
        <x:v>0</x:v>
      </x:c>
    </x:row>
    <x:row r="12">
      <x:c r="A12" s="25" t="str">
        <x:v>30-day decision gate</x:v>
      </x:c>
      <x:c r="B12" s="25"/>
      <x:c r="C12" s="25"/>
      <x:c r="D12" s="25"/>
      <x:c r="E12" s="25"/>
      <x:c r="F12" s="25"/>
      <x:c r="G12" s="25"/>
      <x:c r="H12" s="25"/>
    </x:row>
    <x:row r="13">
      <x:c r="A13" s="14" t="str">
        <x:v>Review core protection, overlay quality, programme balance, evidence/safeguarding, audience value and staff production burden. Decision options: Continue → Adjust → Reduce → Formalize.</x:v>
      </x:c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  <x:row r="15">
      <x:c r="A15" s="14"/>
      <x:c r="B15" s="14"/>
      <x:c r="C15" s="14"/>
      <x:c r="D15" s="14"/>
      <x:c r="E15" s="14"/>
      <x:c r="F15" s="14"/>
      <x:c r="G15" s="14"/>
      <x:c r="H15" s="14"/>
    </x:row>
    <x:row r="16">
      <x:c r="A16" s="14"/>
      <x:c r="B16" s="14"/>
      <x:c r="C16" s="14"/>
      <x:c r="D16" s="14"/>
      <x:c r="E16" s="14"/>
      <x:c r="F16" s="14"/>
      <x:c r="G16" s="14"/>
      <x:c r="H16" s="14"/>
    </x:row>
    <x:row r="17">
      <x:c r="A17" s="14"/>
      <x:c r="B17" s="14"/>
      <x:c r="C17" s="14"/>
      <x:c r="D17" s="14"/>
      <x:c r="E17" s="14"/>
      <x:c r="F17" s="14"/>
      <x:c r="G17" s="14"/>
      <x:c r="H17" s="14"/>
    </x:row>
  </x:sheetData>
  <x:mergeCells>
    <x:mergeCell ref="A1:H1"/>
    <x:mergeCell ref="A12:H12"/>
    <x:mergeCell ref="A13:H17"/>
  </x:mergeCells>
  <x:pageMargins left="0.7" right="0.7" top="0.75" bottom="0.75" header="0.3" footer="0.3"/>
  <x:drawing xmlns:r="http://schemas.openxmlformats.org/officeDocument/2006/relationships" r:id="Rdd77d3bf50c74f20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Topic</x:v>
      </x:c>
      <x:c r="B1" s="4" t="str">
        <x:v>Pilot rule</x:v>
      </x:c>
    </x:row>
    <x:row r="2">
      <x:c r="A2" s="28" t="str">
        <x:v>Core protection</x:v>
      </x:c>
      <x:c r="B2" t="str">
        <x:v>4:00 PM is reserved for P01–P48. Overlay posts do not become P49+.</x:v>
      </x:c>
    </x:row>
    <x:row r="3">
      <x:c r="A3" s="28" t="str">
        <x:v>Morning label</x:v>
      </x:c>
      <x:c r="B3" t="str">
        <x:v>HSF in Action</x:v>
      </x:c>
    </x:row>
    <x:row r="4">
      <x:c r="A4" s="28" t="str">
        <x:v>4 PM label</x:v>
      </x:c>
      <x:c r="B4" t="str">
        <x:v>HSF Knowledge &amp; Awareness</x:v>
      </x:c>
    </x:row>
    <x:row r="5">
      <x:c r="A5" s="28" t="str">
        <x:v>Morning frequency</x:v>
      </x:c>
      <x:c r="B5" t="str">
        <x:v>Opportunity-led, not quota-led. Skip the morning post when value/evidence/safety is insufficient.</x:v>
      </x:c>
    </x:row>
    <x:row r="6">
      <x:c r="A6" s="28" t="str">
        <x:v>MOMENT</x:v>
      </x:c>
      <x:c r="B6" t="str">
        <x:v>One strong authentic image + 2–4 short sentences. No forced statistic or CTA.</x:v>
      </x:c>
    </x:row>
    <x:row r="7">
      <x:c r="A7" s="28" t="str">
        <x:v>FIELD</x:v>
      </x:c>
      <x:c r="B7" t="str">
        <x:v>Meaningful programme activity. 2–5 photos + concise narrative: What happened → Why it mattered → Who participated → What was achieved/learned.</x:v>
      </x:c>
    </x:row>
    <x:row r="8">
      <x:c r="A8" s="28" t="str">
        <x:v>EVENT</x:v>
      </x:c>
      <x:c r="B8" t="str">
        <x:v>Substantial event only. Album = Documentation; Carousel = Storytelling.</x:v>
      </x:c>
    </x:row>
    <x:row r="9">
      <x:c r="A9" s="28" t="str">
        <x:v>Evidence boundary</x:v>
      </x:c>
      <x:c r="B9" t="str">
        <x:v>Activity ≠ outcome. Do not strengthen claims beyond the available evidence.</x:v>
      </x:c>
    </x:row>
    <x:row r="10">
      <x:c r="A10" s="28" t="str">
        <x:v>Safeguarding</x:v>
      </x:c>
      <x:c r="B10" t="str">
        <x:v>Consent/privacy/background checks are mandatory for children, patients and vulnerable people.</x:v>
      </x:c>
    </x:row>
    <x:row r="11">
      <x:c r="A11" s="28" t="str">
        <x:v>Decision gate</x:v>
      </x:c>
      <x:c r="B11" t="str">
        <x:v>Is it real? → useful? → safe? → sufficiently different? → evidence available? → publication better than silence?</x:v>
      </x:c>
    </x:row>
    <x:row r="12">
      <x:c r="A12" s="28" t="str">
        <x:v>30-day decision</x:v>
      </x:c>
      <x:c r="B12" t="str">
        <x:v>Continue → Adjust → Reduce → Formalize</x:v>
      </x:c>
    </x:row>
  </x:sheetData>
  <x:pageMargins left="0.7" right="0.7" top="0.75" bottom="0.75" header="0.3" footer="0.3"/>
</x:worksheet>
</file>