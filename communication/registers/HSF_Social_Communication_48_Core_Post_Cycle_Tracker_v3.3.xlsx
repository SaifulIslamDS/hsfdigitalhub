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yProjects\project-docs-hub\HSF\Facebook Posts\"/>
    </mc:Choice>
  </mc:AlternateContent>
  <xr:revisionPtr revIDLastSave="0" documentId="13_ncr:1_{236A75A7-60DB-416E-B0C8-25017F5A061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chedule" sheetId="1" r:id="rId1"/>
    <sheet name="Weekly Rhythm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I16" i="3"/>
  <c r="F16" i="3"/>
  <c r="E16" i="3"/>
  <c r="B16" i="3"/>
  <c r="I15" i="3"/>
  <c r="F15" i="3"/>
  <c r="E15" i="3"/>
  <c r="B15" i="3"/>
  <c r="I14" i="3"/>
  <c r="F14" i="3"/>
  <c r="E14" i="3"/>
  <c r="B14" i="3"/>
  <c r="G9" i="3"/>
  <c r="D9" i="3"/>
  <c r="A9" i="3"/>
  <c r="I5" i="3"/>
  <c r="G5" i="3"/>
  <c r="D5" i="3"/>
  <c r="A5" i="3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I9" i="3" s="1"/>
</calcChain>
</file>

<file path=xl/sharedStrings.xml><?xml version="1.0" encoding="utf-8"?>
<sst xmlns="http://schemas.openxmlformats.org/spreadsheetml/2006/main" count="1137" uniqueCount="381">
  <si>
    <t>HSF Social Communication — 48 Core Post Cycle Tracker | 01 September–27 October 2026</t>
  </si>
  <si>
    <t>Historical records (01–06 Sep) are preserved as published. From 07 Sep: Mon–Tue Education | Wed–Thu Health | Friday Off | Sat–Sun Climate. Morning overlays remain opportunity-led; P01–P48 headings stay locked.</t>
  </si>
  <si>
    <t>Calendar #</t>
  </si>
  <si>
    <t>Date</t>
  </si>
  <si>
    <t>Day</t>
  </si>
  <si>
    <t>Week</t>
  </si>
  <si>
    <t>Programme / Lens</t>
  </si>
  <si>
    <t>2-Day Block</t>
  </si>
  <si>
    <t>Morning Window</t>
  </si>
  <si>
    <t>Morning ID</t>
  </si>
  <si>
    <t>Category</t>
  </si>
  <si>
    <t>Morning Post / Direction</t>
  </si>
  <si>
    <t>Morning Status</t>
  </si>
  <si>
    <t>Morning URL</t>
  </si>
  <si>
    <t>Afternoon Window</t>
  </si>
  <si>
    <t>Afternoon Stream</t>
  </si>
  <si>
    <t>Afternoon ID</t>
  </si>
  <si>
    <t>Issue / Resolution</t>
  </si>
  <si>
    <t>Afternoon Heading / Post</t>
  </si>
  <si>
    <t>Format</t>
  </si>
  <si>
    <t>Afternoon Status</t>
  </si>
  <si>
    <t>Afternoon URL</t>
  </si>
  <si>
    <t>Overall Status</t>
  </si>
  <si>
    <t>Evidence / Safeguarding Check</t>
  </si>
  <si>
    <t>Notes</t>
  </si>
  <si>
    <t>Tuesday</t>
  </si>
  <si>
    <t>Week 1</t>
  </si>
  <si>
    <t>E4BL – Education</t>
  </si>
  <si>
    <t>Historical</t>
  </si>
  <si>
    <t>9:00–10:00 AM</t>
  </si>
  <si>
    <t>FIELD-001</t>
  </si>
  <si>
    <t>FIELD</t>
  </si>
  <si>
    <t>Hazaribagh Center students received learning materials to support classroom activities.</t>
  </si>
  <si>
    <t>Published</t>
  </si>
  <si>
    <t>4:00–5:00 PM</t>
  </si>
  <si>
    <t>Core</t>
  </si>
  <si>
    <t>P01</t>
  </si>
  <si>
    <t>Issue</t>
  </si>
  <si>
    <t>When Money Becomes a Barrier to Learning</t>
  </si>
  <si>
    <t>Standard</t>
  </si>
  <si>
    <t>Published activity supplied by user; photographs available. Protect children’s privacy; no names, registers or personal details visible.</t>
  </si>
  <si>
    <t>Historical published record.</t>
  </si>
  <si>
    <t>Wednesday</t>
  </si>
  <si>
    <t>MOMENT-001</t>
  </si>
  <si>
    <t>MOMENT</t>
  </si>
  <si>
    <t>Putting the new learning materials to use — students using the materials in ordinary classwork.</t>
  </si>
  <si>
    <t>P02</t>
  </si>
  <si>
    <t>Resolution</t>
  </si>
  <si>
    <t>How Learning Can Continue When Resources Are Limited</t>
  </si>
  <si>
    <t>Use only the observed classroom activity; do not claim improved academic performance from material use.</t>
  </si>
  <si>
    <t>Thursday</t>
  </si>
  <si>
    <t>Mixed – Historical</t>
  </si>
  <si>
    <t>Historical exception</t>
  </si>
  <si>
    <t>FIELD-003</t>
  </si>
  <si>
    <t>Before a medical camp begins — team setup, consultation space and preparation.</t>
  </si>
  <si>
    <t>Overlay</t>
  </si>
  <si>
    <t>MOMENT-002</t>
  </si>
  <si>
    <t>Weekly Cultural / Sports Event — E4BL Uttara Center</t>
  </si>
  <si>
    <t>Photo / Moment</t>
  </si>
  <si>
    <t>Morning: use only verified camp-preparation details and protect patient privacy. Afternoon: weekly E4BL cultural/sports activity was published as an overlay, not a P01–P48 core post.</t>
  </si>
  <si>
    <t>Pre-new-rhythm historical exception; both posts published.</t>
  </si>
  <si>
    <t>Friday</t>
  </si>
  <si>
    <t>—</t>
  </si>
  <si>
    <t>Friday Off</t>
  </si>
  <si>
    <t>No post</t>
  </si>
  <si>
    <t>No posting on Friday.</t>
  </si>
  <si>
    <t>Planned weekly pause.</t>
  </si>
  <si>
    <t>Saturday</t>
  </si>
  <si>
    <t>A2PHC – Health</t>
  </si>
  <si>
    <t>MOMENT-003</t>
  </si>
  <si>
    <t>A doctor listening — respectful consultation environment showing human interaction.</t>
  </si>
  <si>
    <t>P13</t>
  </si>
  <si>
    <t>Waiting Too Long Can Make a Manageable Health Concern Harder</t>
  </si>
  <si>
    <t>Describe consultation and respectful interaction only; do not imply diagnosis, successful treatment or recovery.</t>
  </si>
  <si>
    <t>Sunday</t>
  </si>
  <si>
    <t>FIELD-006</t>
  </si>
  <si>
    <t>Primary healthcare closer to the community — actual camp location and consultation setting.</t>
  </si>
  <si>
    <t>P14</t>
  </si>
  <si>
    <t>Primary Care Can Help People Seek the Right Next Step Earlier</t>
  </si>
  <si>
    <t>No patient information, prescriptions, registers or identifiable clinical details in frame.</t>
  </si>
  <si>
    <t>User confirmed both posts published on 06-Sep-2026.</t>
  </si>
  <si>
    <t>Monday</t>
  </si>
  <si>
    <t>Block 01 – Day 1</t>
  </si>
  <si>
    <t>FIELD-007</t>
  </si>
  <si>
    <t>Assembly before a regular school day — an authentic E4BL school routine.</t>
  </si>
  <si>
    <t>Scheduled</t>
  </si>
  <si>
    <t>P03</t>
  </si>
  <si>
    <t>School Dropout Usually Starts Before the Last Day in Class</t>
  </si>
  <si>
    <t>Use current verified E4BL activity evidence. Protect children’s dignity and privacy; no unnecessary names, registers or personal details. Do not infer learning outcomes.</t>
  </si>
  <si>
    <t>Existing scheduled date retained under the revised programme rhythm.</t>
  </si>
  <si>
    <t>Week 2</t>
  </si>
  <si>
    <t>Block 01 – Day 2</t>
  </si>
  <si>
    <t>OBS-001</t>
  </si>
  <si>
    <t>OBS</t>
  </si>
  <si>
    <t>International Literacy Day — connect literacy with everyday learning and education continuity.</t>
  </si>
  <si>
    <t>P04</t>
  </si>
  <si>
    <t>Notice the Signs Before Learning Stops</t>
  </si>
  <si>
    <t>Special Engagement</t>
  </si>
  <si>
    <t>Block 02 – Day 1</t>
  </si>
  <si>
    <t>FIELD-008</t>
  </si>
  <si>
    <t>Community health awareness in simple language — use a real A2PHC session or field interaction.</t>
  </si>
  <si>
    <t>Needs Reschedule</t>
  </si>
  <si>
    <t>P15</t>
  </si>
  <si>
    <t>Health Information Is Everywhere, but Not All of It Is Reliable</t>
  </si>
  <si>
    <t>Use current verified A2PHC activity evidence. Protect patient privacy; no prescriptions, registers, diagnoses linked to people or unsupported clinical outcome claims.</t>
  </si>
  <si>
    <t>Morning content changed to Health to keep one programme all day; replace the previously scheduled Education morning post. Afternoon core remains scheduled.</t>
  </si>
  <si>
    <t>Block 02 – Day 2</t>
  </si>
  <si>
    <t>MOMENT-004</t>
  </si>
  <si>
    <t>One health message explained clearly — staff using a poster, flipchart or conversation.</t>
  </si>
  <si>
    <t>P16</t>
  </si>
  <si>
    <t>Simple Preventive Habits Work Best When the Advice Is Verified</t>
  </si>
  <si>
    <t>Climate Action</t>
  </si>
  <si>
    <t>Block 03 – Day 1</t>
  </si>
  <si>
    <t>FIELD-009</t>
  </si>
  <si>
    <t>Youth climate discussion on heat, changing weather or everyday climate risk.</t>
  </si>
  <si>
    <t>Planned</t>
  </si>
  <si>
    <t>P23</t>
  </si>
  <si>
    <t>Extreme Heat Is More Than Discomfort</t>
  </si>
  <si>
    <t>Use current verified Climate Action evidence. Do not invent beneficiary totals, programme activities or impact claims; keep statements proportional to documented activity.</t>
  </si>
  <si>
    <t>Block 03 – Day 2</t>
  </si>
  <si>
    <t>MOMENT-005</t>
  </si>
  <si>
    <t>A practical heat-safety moment — shade, water, rest or safer daily-space choices.</t>
  </si>
  <si>
    <t>P24</t>
  </si>
  <si>
    <t>Low-Cost Heat Actions Can Make Daily Spaces Safer</t>
  </si>
  <si>
    <t>Block 04 – Day 1</t>
  </si>
  <si>
    <t>MOMENT-006</t>
  </si>
  <si>
    <t>Learning with simple materials — ordinary classwork using what is already available.</t>
  </si>
  <si>
    <t>P05</t>
  </si>
  <si>
    <t>Learning Should Not Depend on Expensive Materials</t>
  </si>
  <si>
    <t>Week 3</t>
  </si>
  <si>
    <t>Block 04 – Day 2</t>
  </si>
  <si>
    <t>FIELD-010</t>
  </si>
  <si>
    <t>A regular classroom morning — reading, writing and guided classwork at Hazaribagh or Uttara.</t>
  </si>
  <si>
    <t>P06</t>
  </si>
  <si>
    <t>A Simple Learning Routine Can Start With What Is Already Available</t>
  </si>
  <si>
    <t>Block 05 – Day 1</t>
  </si>
  <si>
    <t>FIELD-011</t>
  </si>
  <si>
    <t>Routine primary-care consultation or check environment, if verified and safe to show.</t>
  </si>
  <si>
    <t>P17</t>
  </si>
  <si>
    <t>Some Health Risks Do Not Announce Themselves Early</t>
  </si>
  <si>
    <t>Block 05 – Day 2</t>
  </si>
  <si>
    <t>MOMENT-007</t>
  </si>
  <si>
    <t>Listening is part of good healthcare — a dignified doctor/community interaction.</t>
  </si>
  <si>
    <t>P18</t>
  </si>
  <si>
    <t>Routine Checks Can Support Earlier Professional Attention</t>
  </si>
  <si>
    <t>Block 06 – Day 1</t>
  </si>
  <si>
    <t>FIELD-012</t>
  </si>
  <si>
    <t>Community discussion on heavy rain, flood risk or locally relevant preparedness.</t>
  </si>
  <si>
    <t>P25</t>
  </si>
  <si>
    <t>Heavy Rain Becomes More Dangerous When Preparation Starts Too Late</t>
  </si>
  <si>
    <t>Block 06 – Day 2</t>
  </si>
  <si>
    <t>MOMENT-008</t>
  </si>
  <si>
    <t>A household-readiness discussion or practical preparedness moment.</t>
  </si>
  <si>
    <t>P26</t>
  </si>
  <si>
    <t>A Simple Household Readiness Plan Can Reduce Avoidable Risk</t>
  </si>
  <si>
    <t>Block 07 – Day 1</t>
  </si>
  <si>
    <t>FIELD-013</t>
  </si>
  <si>
    <t>Guardian–school communication — guardian meeting or teacher-parent discussion.</t>
  </si>
  <si>
    <t>P07</t>
  </si>
  <si>
    <t>A Child Struggles More When Home and School Work Separately</t>
  </si>
  <si>
    <t>Week 4</t>
  </si>
  <si>
    <t>Block 07 – Day 2</t>
  </si>
  <si>
    <t>MOMENT-009</t>
  </si>
  <si>
    <t>One teacher–guardian conversation focused on supporting a learner.</t>
  </si>
  <si>
    <t>P08</t>
  </si>
  <si>
    <t>One Small Teacher–Guardian Conversation Can Make Support Clearer</t>
  </si>
  <si>
    <t>Block 08 – Day 1</t>
  </si>
  <si>
    <t>FIELD-014</t>
  </si>
  <si>
    <t>Community hygiene awareness — safe water, food hygiene, sanitation or handwashing where actually discussed.</t>
  </si>
  <si>
    <t>P19</t>
  </si>
  <si>
    <t>Small Hygiene Gaps Can Create Bigger Health Risks</t>
  </si>
  <si>
    <t>Block 08 – Day 2</t>
  </si>
  <si>
    <t>MOMENT-010</t>
  </si>
  <si>
    <t>A simple hygiene practice explained or demonstrated in a community setting.</t>
  </si>
  <si>
    <t>P20</t>
  </si>
  <si>
    <t>A Household Hygiene Checklist Can Turn Awareness Into Routine</t>
  </si>
  <si>
    <t>Block 09 – Day 1</t>
  </si>
  <si>
    <t>FIELD-015</t>
  </si>
  <si>
    <t>Environmental cleanliness or plastic-awareness activity where verified.</t>
  </si>
  <si>
    <t>P27</t>
  </si>
  <si>
    <t>Single-Use Plastic Leaves a Longer Problem Than Its Short Use</t>
  </si>
  <si>
    <t>Block 09 – Day 2</t>
  </si>
  <si>
    <t>MOMENT-011</t>
  </si>
  <si>
    <t>One practical local environmental action — waste reduction or cleaner surroundings.</t>
  </si>
  <si>
    <t>P28</t>
  </si>
  <si>
    <t>Plastic Reduction Works Better as a Practical Habit Than a Slogan</t>
  </si>
  <si>
    <t>Block 10 – Day 1</t>
  </si>
  <si>
    <t>FIELD-016</t>
  </si>
  <si>
    <t>Regular classroom participation — children staying connected to learning through ordinary school activity.</t>
  </si>
  <si>
    <t>P09</t>
  </si>
  <si>
    <t>A Small Income Today Can Carry a Long Educational Cost</t>
  </si>
  <si>
    <t>Week 5</t>
  </si>
  <si>
    <t>Block 10 – Day 2</t>
  </si>
  <si>
    <t>MOMENT-012</t>
  </si>
  <si>
    <t>Teacher or classroom support that helps children remain engaged with learning.</t>
  </si>
  <si>
    <t>P10</t>
  </si>
  <si>
    <t>What Can Help a Child Stay Connected to Learning</t>
  </si>
  <si>
    <t>Block 11 – Day 1</t>
  </si>
  <si>
    <t>FIELD-017</t>
  </si>
  <si>
    <t>Women’s or girls’ health / menstrual-hygiene education only where an approved real session occurs.</t>
  </si>
  <si>
    <t>P21</t>
  </si>
  <si>
    <t>Shame and Misinformation Can Become Health and Education Barriers</t>
  </si>
  <si>
    <t>Block 11 – Day 2</t>
  </si>
  <si>
    <t>MOMENT-013</t>
  </si>
  <si>
    <t>Practical, private and respectful menstrual-hygiene information in an approved setting.</t>
  </si>
  <si>
    <t>P22</t>
  </si>
  <si>
    <t>Menstrual Hygiene Information Should Be Practical, Private and Respectful</t>
  </si>
  <si>
    <t>Block 12 – Day 1</t>
  </si>
  <si>
    <t>FIELD-018</t>
  </si>
  <si>
    <t>Tree care, shade or local environmental conditions as a verified Climate Action activity.</t>
  </si>
  <si>
    <t>P29</t>
  </si>
  <si>
    <t>Hotter, Harder Spaces Are Often Shaped by the Environment Around Us</t>
  </si>
  <si>
    <t>Block 12 – Day 2</t>
  </si>
  <si>
    <t>MOMENT-014</t>
  </si>
  <si>
    <t>One local resilience choice — shade, tree care, water or community environmental action.</t>
  </si>
  <si>
    <t>P30</t>
  </si>
  <si>
    <t>Small Local Design Choices Can Improve Shade, Comfort and Resilience</t>
  </si>
  <si>
    <t>Block 13 – Day 1</t>
  </si>
  <si>
    <t>OBS-002</t>
  </si>
  <si>
    <t>World Teachers’ Day — recognize HSF teachers through their actual work, not a generic greeting card.</t>
  </si>
  <si>
    <t>P11</t>
  </si>
  <si>
    <t>Children Need More Than Attendance; They Need Safety and a Voice</t>
  </si>
  <si>
    <t>Week 6</t>
  </si>
  <si>
    <t>Block 13 – Day 2</t>
  </si>
  <si>
    <t>MOMENT-015</t>
  </si>
  <si>
    <t>Teacher preparation or a safe classroom moment where children can participate and be heard.</t>
  </si>
  <si>
    <t>P12</t>
  </si>
  <si>
    <t>Safe Support Should Make It Easier for a Child to Be Heard</t>
  </si>
  <si>
    <t>Block 14 – Day 1</t>
  </si>
  <si>
    <t>FIELD-019</t>
  </si>
  <si>
    <t>A respectful A2PHC service moment showing access to care without stigma or pity-based framing.</t>
  </si>
  <si>
    <t>P31</t>
  </si>
  <si>
    <t>Hardship Narrows Choices, but It Should Not Reduce Human Dignity</t>
  </si>
  <si>
    <t>Cross-cutting core theme; keep the locked heading and express examples through this day’s programme lens.</t>
  </si>
  <si>
    <t>Block 14 – Day 2</t>
  </si>
  <si>
    <t>MOMENT-016</t>
  </si>
  <si>
    <t>Choice and dignity in a consultation or support interaction.</t>
  </si>
  <si>
    <t>P32</t>
  </si>
  <si>
    <t>Support Creates More Value When Choice and Respect Remain Visible</t>
  </si>
  <si>
    <t>Block 15 – Day 1</t>
  </si>
  <si>
    <t>FIELD-020</t>
  </si>
  <si>
    <t>Youth climate learning as a practical skill — discussion, observation or community action planning.</t>
  </si>
  <si>
    <t>P33</t>
  </si>
  <si>
    <t>Lack of Money Should Not Mean Lack of a Starting Point</t>
  </si>
  <si>
    <t>Block 15 – Day 2</t>
  </si>
  <si>
    <t>MOMENT-017</t>
  </si>
  <si>
    <t>One climate-learning skill in practice — a participant observing, discussing or proposing an action.</t>
  </si>
  <si>
    <t>P34</t>
  </si>
  <si>
    <t>One Useful Skill Can Be Built Through a Small, Structured Learning Path</t>
  </si>
  <si>
    <t>Block 16 – Day 1</t>
  </si>
  <si>
    <t>FIELD-021</t>
  </si>
  <si>
    <t>Safe use of a digital learning resource or guided online learning, where HSF has real evidence.</t>
  </si>
  <si>
    <t>P35</t>
  </si>
  <si>
    <t>Free Online Learning Helps Only When People Can Find and Use It Safely</t>
  </si>
  <si>
    <t>Week 7</t>
  </si>
  <si>
    <t>Block 16 – Day 2</t>
  </si>
  <si>
    <t>MOMENT-018</t>
  </si>
  <si>
    <t>A simple digital-learning routine — guided use of a phone, computer or online learning resource.</t>
  </si>
  <si>
    <t>P36</t>
  </si>
  <si>
    <t>A Simple Digital Learning Routine Can Reduce Cost, Confusion and Risk</t>
  </si>
  <si>
    <t>Block 17 – Day 1</t>
  </si>
  <si>
    <t>FIELD-022</t>
  </si>
  <si>
    <t>Women or girls participating confidently in an approved health-awareness or community discussion.</t>
  </si>
  <si>
    <t>P37</t>
  </si>
  <si>
    <t>Opportunity Shrinks When Skills, Mobility and Confidence Are Restricted</t>
  </si>
  <si>
    <t>Block 17 – Day 2</t>
  </si>
  <si>
    <t>OBS-003</t>
  </si>
  <si>
    <t>Global Handwashing Day — connect a real A2PHC hygiene activity to practical prevention.</t>
  </si>
  <si>
    <t>P38</t>
  </si>
  <si>
    <t>Skills and Support Can Expand Choice When Agency Remains Central</t>
  </si>
  <si>
    <t>Block 18 – Day 1</t>
  </si>
  <si>
    <t>FIELD-023</t>
  </si>
  <si>
    <t>Youth climate-justice dialogue — fairness, responsibility and how climate impacts communities.</t>
  </si>
  <si>
    <t>P39</t>
  </si>
  <si>
    <t>Rights Are Tested in Ordinary Moments, Not Only in Courtrooms</t>
  </si>
  <si>
    <t>Block 18 – Day 2</t>
  </si>
  <si>
    <t>MOMENT-019</t>
  </si>
  <si>
    <t>A participant sharing a perspective on climate fairness, responsibility or community action.</t>
  </si>
  <si>
    <t>P40</t>
  </si>
  <si>
    <t>Respect Becomes Real Through Everyday Behaviour</t>
  </si>
  <si>
    <t>Block 19 – Day 1</t>
  </si>
  <si>
    <t>FIELD-024</t>
  </si>
  <si>
    <t>Inclusive classroom participation — students learning and taking part together.</t>
  </si>
  <si>
    <t>P41</t>
  </si>
  <si>
    <t>Exclusion Can Be Quiet and Still Cause Harm</t>
  </si>
  <si>
    <t>Week 8</t>
  </si>
  <si>
    <t>Block 19 – Day 2</t>
  </si>
  <si>
    <t>MOMENT-020</t>
  </si>
  <si>
    <t>An ordinary classroom moment showing inclusion, respect and participation.</t>
  </si>
  <si>
    <t>P42</t>
  </si>
  <si>
    <t>Inclusive Participation Can Be Built Through Small, Repeatable Practices</t>
  </si>
  <si>
    <t>Block 20 – Day 1</t>
  </si>
  <si>
    <t>FIELD-025</t>
  </si>
  <si>
    <t>Health information in practice — staff checking or explaining a verified health message.</t>
  </si>
  <si>
    <t>P43</t>
  </si>
  <si>
    <t>A Helpful-Looking Post Can Still Be Wrong</t>
  </si>
  <si>
    <t>Block 20 – Day 2</t>
  </si>
  <si>
    <t>MOMENT-021</t>
  </si>
  <si>
    <t>A simple verification moment before sharing health information with the community.</t>
  </si>
  <si>
    <t>P44</t>
  </si>
  <si>
    <t>Pause, Check, Then Share</t>
  </si>
  <si>
    <t>Block 21 – Day 1</t>
  </si>
  <si>
    <t>FIELD-026</t>
  </si>
  <si>
    <t>Evidence in climate communication — checking source, context or field information before making a public claim.</t>
  </si>
  <si>
    <t>P45</t>
  </si>
  <si>
    <t>A Number Without Context Can Mislead</t>
  </si>
  <si>
    <t>Block 21 – Day 2</t>
  </si>
  <si>
    <t>HSF-001</t>
  </si>
  <si>
    <t>HSF</t>
  </si>
  <si>
    <t>Behind a responsible climate post — staff reviewing scope, period and source before publication.</t>
  </si>
  <si>
    <t>P46</t>
  </si>
  <si>
    <t>Responsible Public Claims Should Show Scope, Period and Source</t>
  </si>
  <si>
    <t>Block 22 – Day 1</t>
  </si>
  <si>
    <t>FIELD-027</t>
  </si>
  <si>
    <t>A volunteer or partner contributing to a useful E4BL activity.</t>
  </si>
  <si>
    <t>P47</t>
  </si>
  <si>
    <t>Good Intentions Create More Value When They Become Useful Action</t>
  </si>
  <si>
    <t>Week 9</t>
  </si>
  <si>
    <t>Block 22 – Day 2</t>
  </si>
  <si>
    <t>HSF-002</t>
  </si>
  <si>
    <t>Cycle reflection through E4BL — people, partnership and responsible action documented during the communication cycle.</t>
  </si>
  <si>
    <t>P48</t>
  </si>
  <si>
    <t>From Empathy to Action: One Responsible Contribution Is Enough to Start</t>
  </si>
  <si>
    <t>HSF Weekly Social Communication Rhythm</t>
  </si>
  <si>
    <t>Operational rhythm from 07 September 2026. The programme stays the same for morning and afternoon; each two-day block carries an Issue → Resolution pair.</t>
  </si>
  <si>
    <t>Programme</t>
  </si>
  <si>
    <t>Morning Stream</t>
  </si>
  <si>
    <t>Pair Role</t>
  </si>
  <si>
    <t>Posting Rule</t>
  </si>
  <si>
    <t>Purpose</t>
  </si>
  <si>
    <t>HSF in Action</t>
  </si>
  <si>
    <t>Core P-post</t>
  </si>
  <si>
    <t>Publish if real/safe morning evidence exists</t>
  </si>
  <si>
    <t>Begin Education pair</t>
  </si>
  <si>
    <t>Same programme all day</t>
  </si>
  <si>
    <t>Complete Education pair</t>
  </si>
  <si>
    <t>Begin Health pair</t>
  </si>
  <si>
    <t>Complete Health pair</t>
  </si>
  <si>
    <t>NO POST</t>
  </si>
  <si>
    <t>Full weekly pause</t>
  </si>
  <si>
    <t>Audience and production breathing room</t>
  </si>
  <si>
    <t>Begin Climate pair</t>
  </si>
  <si>
    <t>Complete Climate pair</t>
  </si>
  <si>
    <t>Operating Rules</t>
  </si>
  <si>
    <t>1</t>
  </si>
  <si>
    <t>Morning overlays are opportunity-led, not quota-led. If there is no genuine, safe and useful activity, the morning post may be skipped.</t>
  </si>
  <si>
    <t>2</t>
  </si>
  <si>
    <t>From 07 September onward, morning and afternoon must use the same programme lens.</t>
  </si>
  <si>
    <t>3</t>
  </si>
  <si>
    <t>P01–P48 IDs and headings remain locked. The schedule changes dates and programme framing, not the approved core content.</t>
  </si>
  <si>
    <t>4</t>
  </si>
  <si>
    <t>P31–P48 are cross-cutting themes; in this tracker they are expressed through the programme scheduled for that day without changing the locked heading.</t>
  </si>
  <si>
    <t>5</t>
  </si>
  <si>
    <t>Exact-date observances are used only when they fit the day’s programme. Otherwise the observance is skipped rather than breaking the rhythm.</t>
  </si>
  <si>
    <t>6</t>
  </si>
  <si>
    <t>Friday is a deliberate no-post day and is recorded in the tracker rather than omitted.</t>
  </si>
  <si>
    <t>7</t>
  </si>
  <si>
    <t>01–06 September remain historical records. The new rhythm starts 07 September.</t>
  </si>
  <si>
    <t>HSF Social Communication Dashboard | As of 06 September 2026</t>
  </si>
  <si>
    <t>48 locked core posts + morning HSF in Action overlays. Cycle ends 27 October 2026 because Fridays are intentionally off and 03 September carried an overlay-only afternoon.</t>
  </si>
  <si>
    <t>Core Posts</t>
  </si>
  <si>
    <t>Published Core</t>
  </si>
  <si>
    <t>Core Completion</t>
  </si>
  <si>
    <t>Published Posts</t>
  </si>
  <si>
    <t>Scheduled Core</t>
  </si>
  <si>
    <t>Planned Core</t>
  </si>
  <si>
    <t>Published Morning</t>
  </si>
  <si>
    <t>Core Status</t>
  </si>
  <si>
    <t>Core Coverage by Programme Lens</t>
  </si>
  <si>
    <t>Tracker Alerts</t>
  </si>
  <si>
    <t>Status</t>
  </si>
  <si>
    <t>Count</t>
  </si>
  <si>
    <t>Total Core</t>
  </si>
  <si>
    <t>Item</t>
  </si>
  <si>
    <t>Morning Planned</t>
  </si>
  <si>
    <t>Morning Skipped</t>
  </si>
  <si>
    <t>Management Notes</t>
  </si>
  <si>
    <t>• 06 September is corrected to both posts published.</t>
  </si>
  <si>
    <t>• 09–10 September morning content requires rescheduling from Education to Health; afternoon P15/P16 remains scheduled.</t>
  </si>
  <si>
    <t>• Morning overlays are planned opportunities, not compulsory quotas. A weak or unsupported morning post should be skipped.</t>
  </si>
  <si>
    <t>• Dashboard counts update automatically when Morning Status or Afternoon Status is changed in the Schedule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</si>
</sst>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0">
    <font>
      <sz val="11"/>
      <name val="Carlito"/>
    </font>
    <font>
      <b/>
      <sz val="15"/>
      <color rgb="FFFFFFFF"/>
      <name val="Carlito"/>
    </font>
    <font>
      <i/>
      <sz val="11"/>
      <color rgb="FF243238"/>
      <name val="Carlito"/>
    </font>
    <font>
      <b/>
      <sz val="11"/>
      <color rgb="FFFFFFFF"/>
      <name val="Carlito"/>
    </font>
    <font>
      <i/>
      <sz val="11"/>
      <name val="Carlito"/>
    </font>
    <font>
      <i/>
      <sz val="11"/>
      <color rgb="FF666666"/>
      <name val="Carlito"/>
    </font>
    <font>
      <b/>
      <sz val="11"/>
      <color rgb="FF3D3200"/>
      <name val="Carlito"/>
    </font>
    <font>
      <b/>
      <sz val="11"/>
      <name val="Carlito"/>
    </font>
    <font>
      <b/>
      <sz val="16"/>
      <color rgb="FFFFFFFF"/>
      <name val="Carlito"/>
    </font>
    <font>
      <b/>
      <sz val="18"/>
      <color rgb="FF243238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0F5132"/>
      </patternFill>
    </fill>
    <fill>
      <patternFill patternType="solid">
        <fgColor rgb="FFEAF4EE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D4A72C"/>
      </patternFill>
    </fill>
    <fill>
      <patternFill patternType="solid">
        <fgColor rgb="FFFAFAFA"/>
      </patternFill>
    </fill>
    <fill>
      <patternFill patternType="solid">
        <fgColor rgb="FF6A4C93"/>
      </patternFill>
    </fill>
    <fill>
      <patternFill patternType="solid">
        <fgColor rgb="FF6B7280"/>
      </patternFill>
    </fill>
    <fill>
      <patternFill patternType="solid">
        <fgColor rgb="FFB85450"/>
      </patternFill>
    </fill>
    <fill>
      <patternFill patternType="solid">
        <fgColor rgb="FF777777"/>
      </patternFill>
    </fill>
    <fill>
      <patternFill patternType="solid">
        <fgColor rgb="FFEAF1F8"/>
      </patternFill>
    </fill>
    <fill>
      <patternFill patternType="solid">
        <fgColor rgb="FFFBF3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5" fillId="5" borderId="0" xfId="0" applyFont="1" applyFill="1" applyAlignment="1">
      <alignment wrapText="1"/>
    </xf>
    <xf numFmtId="0" fontId="7" fillId="0" borderId="0" xfId="0" applyFont="1" applyAlignment="1">
      <alignment horizontal="center"/>
    </xf>
    <xf numFmtId="0" fontId="7" fillId="12" borderId="0" xfId="0" applyFont="1" applyFill="1"/>
    <xf numFmtId="0" fontId="7" fillId="3" borderId="0" xfId="0" applyFont="1" applyFill="1"/>
    <xf numFmtId="0" fontId="7" fillId="13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wrapText="1"/>
    </xf>
    <xf numFmtId="0" fontId="1" fillId="2" borderId="0" xfId="0" applyFont="1" applyFill="1" applyAlignment="1">
      <alignment horizontal="center"/>
    </xf>
    <xf numFmtId="0" fontId="4" fillId="3" borderId="0" xfId="0" applyFont="1" applyFill="1" applyAlignment="1">
      <alignment wrapText="1"/>
    </xf>
    <xf numFmtId="0" fontId="6" fillId="6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/>
    <xf numFmtId="0" fontId="8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9" fontId="9" fillId="7" borderId="0" xfId="0" applyNumberFormat="1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0" fillId="7" borderId="0" xfId="0" applyFill="1" applyAlignment="1">
      <alignment wrapText="1"/>
    </xf>
  </cellXfs>
  <cellStyles count="1">
    <cellStyle name="Normal" xfId="0" builtinId="0"/>
  </cellStyles>
  <dxfs count="29">
    <dxf>
      <font>
        <color rgb="FF7F6000"/>
      </font>
      <fill>
        <patternFill patternType="solid">
          <bgColor rgb="FFFCE5CD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i/>
      </font>
      <fill>
        <patternFill patternType="solid">
          <bgColor rgb="FFE7E6E6"/>
        </patternFill>
      </fill>
    </dxf>
    <dxf>
      <fill>
        <patternFill patternType="solid">
          <bgColor rgb="FFF2F2F2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1B5E20"/>
      </font>
      <fill>
        <patternFill patternType="solid">
          <bgColor rgb="FFD9EAD3"/>
        </patternFill>
      </fill>
    </dxf>
    <dxf>
      <font>
        <b/>
        <color rgb="FF1B5E20"/>
      </font>
      <fill>
        <patternFill patternType="solid">
          <bgColor rgb="FFD9EAD3"/>
        </patternFill>
      </fill>
    </dxf>
    <dxf>
      <font>
        <color rgb="FF7F6000"/>
      </font>
      <fill>
        <patternFill patternType="solid">
          <bgColor rgb="FFFCE5CD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i/>
      </font>
      <fill>
        <patternFill patternType="solid">
          <bgColor rgb="FFE7E6E6"/>
        </patternFill>
      </fill>
    </dxf>
    <dxf>
      <fill>
        <patternFill patternType="solid">
          <bgColor rgb="FFF2F2F2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1B5E20"/>
      </font>
      <fill>
        <patternFill patternType="solid">
          <bgColor rgb="FFD9EAD3"/>
        </patternFill>
      </fill>
    </dxf>
    <dxf>
      <font>
        <b/>
        <color rgb="FF1B5E20"/>
      </font>
      <fill>
        <patternFill patternType="solid">
          <bgColor rgb="FFD9EAD3"/>
        </patternFill>
      </fill>
    </dxf>
    <dxf>
      <font>
        <color rgb="FF7F6000"/>
      </font>
      <fill>
        <patternFill patternType="solid">
          <bgColor rgb="FFFCE5CD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i/>
      </font>
      <fill>
        <patternFill patternType="solid">
          <bgColor rgb="FFE7E6E6"/>
        </patternFill>
      </fill>
    </dxf>
    <dxf>
      <fill>
        <patternFill patternType="solid">
          <bgColor rgb="FFF2F2F2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1B5E20"/>
      </font>
      <fill>
        <patternFill patternType="solid">
          <bgColor rgb="FFD9EAD3"/>
        </patternFill>
      </fill>
    </dxf>
    <dxf>
      <font>
        <b/>
        <color rgb="FF1B5E20"/>
      </font>
      <fill>
        <patternFill patternType="solid">
          <bgColor rgb="FFD9EAD3"/>
        </patternFill>
      </fill>
    </dxf>
    <dxf>
      <fill>
        <patternFill patternType="solid">
          <bgColor rgb="FFEEE8F5"/>
        </patternFill>
      </fill>
    </dxf>
    <dxf>
      <fill>
        <patternFill patternType="solid">
          <bgColor rgb="FFEAF4EE"/>
        </patternFill>
      </fill>
    </dxf>
    <dxf>
      <fill>
        <patternFill patternType="solid">
          <bgColor rgb="FFF8E7E6"/>
        </patternFill>
      </fill>
    </dxf>
    <dxf>
      <fill>
        <patternFill patternType="solid">
          <bgColor rgb="FFFBF3D5"/>
        </patternFill>
      </fill>
    </dxf>
    <dxf>
      <font>
        <i/>
        <color rgb="FF777777"/>
      </font>
      <fill>
        <patternFill patternType="solid">
          <bgColor rgb="FFF3F3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Core Post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Dashboard!$A$14:$A$17</c:f>
              <c:strCache>
                <c:ptCount val="4"/>
                <c:pt idx="0">
                  <c:v>Published</c:v>
                </c:pt>
                <c:pt idx="1">
                  <c:v>Scheduled</c:v>
                </c:pt>
                <c:pt idx="2">
                  <c:v>Planned</c:v>
                </c:pt>
                <c:pt idx="3">
                  <c:v>Needs Reschedule</c:v>
                </c:pt>
              </c:strCache>
            </c:strRef>
          </c:cat>
          <c:val>
            <c:numRef>
              <c:f>Dashboard!$B$14:$B$17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40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6A-4A29-96FD-B8D0E0E62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Core Posts by Programme Lens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Core</c:v>
          </c:tx>
          <c:invertIfNegative val="1"/>
          <c:cat>
            <c:strRef>
              <c:f>Dashboard!$D$14:$D$16</c:f>
              <c:strCache>
                <c:ptCount val="3"/>
                <c:pt idx="0">
                  <c:v>E4BL – Education</c:v>
                </c:pt>
                <c:pt idx="1">
                  <c:v>A2PHC – Health</c:v>
                </c:pt>
                <c:pt idx="2">
                  <c:v>Climate Action</c:v>
                </c:pt>
              </c:strCache>
            </c:strRef>
          </c:cat>
          <c:val>
            <c:numRef>
              <c:f>Dashboard!$E$14:$E$16</c:f>
              <c:numCache>
                <c:formatCode>General</c:formatCode>
                <c:ptCount val="3"/>
                <c:pt idx="0">
                  <c:v>18</c:v>
                </c:pt>
                <c:pt idx="1">
                  <c:v>16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2-4CC8-9424-B22BE9DEAAC2}"/>
            </c:ext>
          </c:extLst>
        </c:ser>
        <c:ser>
          <c:idx val="1"/>
          <c:order val="1"/>
          <c:tx>
            <c:v>Published Core</c:v>
          </c:tx>
          <c:invertIfNegative val="1"/>
          <c:cat>
            <c:strRef>
              <c:f>Dashboard!$D$14:$D$16</c:f>
              <c:strCache>
                <c:ptCount val="3"/>
                <c:pt idx="0">
                  <c:v>E4BL – Education</c:v>
                </c:pt>
                <c:pt idx="1">
                  <c:v>A2PHC – Health</c:v>
                </c:pt>
                <c:pt idx="2">
                  <c:v>Climate Action</c:v>
                </c:pt>
              </c:strCache>
            </c:strRef>
          </c:cat>
          <c:val>
            <c:numRef>
              <c:f>Dashboard!$F$14:$F$16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12-4CC8-9424-B22BE9DEA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5</xdr:col>
      <xdr:colOff>0</xdr:colOff>
      <xdr:row>40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10</xdr:col>
      <xdr:colOff>0</xdr:colOff>
      <xdr:row>40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SFSocialSchedule" displayName="HSFSocialSchedule" ref="A4:W61" totalsRowShown="0">
  <tableColumns count="23">
    <tableColumn id="1" xr3:uid="{00000000-0010-0000-0000-000001000000}" name="Calendar #"/>
    <tableColumn id="2" xr3:uid="{00000000-0010-0000-0000-000002000000}" name="Date"/>
    <tableColumn id="3" xr3:uid="{00000000-0010-0000-0000-000003000000}" name="Day"/>
    <tableColumn id="4" xr3:uid="{00000000-0010-0000-0000-000004000000}" name="Week"/>
    <tableColumn id="5" xr3:uid="{00000000-0010-0000-0000-000005000000}" name="Programme / Lens"/>
    <tableColumn id="6" xr3:uid="{00000000-0010-0000-0000-000006000000}" name="2-Day Block"/>
    <tableColumn id="7" xr3:uid="{00000000-0010-0000-0000-000007000000}" name="Morning Window"/>
    <tableColumn id="8" xr3:uid="{00000000-0010-0000-0000-000008000000}" name="Morning ID"/>
    <tableColumn id="9" xr3:uid="{00000000-0010-0000-0000-000009000000}" name="Category"/>
    <tableColumn id="10" xr3:uid="{00000000-0010-0000-0000-00000A000000}" name="Morning Post / Direction"/>
    <tableColumn id="11" xr3:uid="{00000000-0010-0000-0000-00000B000000}" name="Morning Status"/>
    <tableColumn id="12" xr3:uid="{00000000-0010-0000-0000-00000C000000}" name="Morning URL"/>
    <tableColumn id="13" xr3:uid="{00000000-0010-0000-0000-00000D000000}" name="Afternoon Window"/>
    <tableColumn id="14" xr3:uid="{00000000-0010-0000-0000-00000E000000}" name="Afternoon Stream"/>
    <tableColumn id="15" xr3:uid="{00000000-0010-0000-0000-00000F000000}" name="Afternoon ID"/>
    <tableColumn id="16" xr3:uid="{00000000-0010-0000-0000-000010000000}" name="Issue / Resolution"/>
    <tableColumn id="17" xr3:uid="{00000000-0010-0000-0000-000011000000}" name="Afternoon Heading / Post"/>
    <tableColumn id="18" xr3:uid="{00000000-0010-0000-0000-000012000000}" name="Format"/>
    <tableColumn id="19" xr3:uid="{00000000-0010-0000-0000-000013000000}" name="Afternoon Status"/>
    <tableColumn id="20" xr3:uid="{00000000-0010-0000-0000-000014000000}" name="Afternoon URL"/>
    <tableColumn id="21" xr3:uid="{00000000-0010-0000-0000-000015000000}" name="Overall Status"/>
    <tableColumn id="22" xr3:uid="{00000000-0010-0000-0000-000016000000}" name="Evidence / Safeguarding Check"/>
    <tableColumn id="23" xr3:uid="{00000000-0010-0000-0000-000017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1"/>
  <sheetViews>
    <sheetView tabSelected="1" topLeftCell="C5" workbookViewId="0">
      <selection activeCell="J11" sqref="J11"/>
    </sheetView>
  </sheetViews>
  <sheetFormatPr defaultRowHeight="14"/>
  <cols>
    <col min="1" max="1" width="10" customWidth="1"/>
    <col min="2" max="2" width="13" customWidth="1"/>
    <col min="3" max="3" width="11" customWidth="1"/>
    <col min="4" max="4" width="10" customWidth="1"/>
    <col min="5" max="5" width="22" customWidth="1"/>
    <col min="6" max="6" width="19" customWidth="1"/>
    <col min="7" max="7" width="18" customWidth="1"/>
    <col min="8" max="8" width="14" customWidth="1"/>
    <col min="9" max="9" width="13" customWidth="1"/>
    <col min="10" max="10" width="44" customWidth="1"/>
    <col min="11" max="11" width="18" customWidth="1"/>
    <col min="12" max="12" width="22" customWidth="1"/>
    <col min="13" max="13" width="18" customWidth="1"/>
    <col min="14" max="14" width="16" customWidth="1"/>
    <col min="15" max="15" width="14" customWidth="1"/>
    <col min="16" max="16" width="18" customWidth="1"/>
    <col min="17" max="17" width="49" customWidth="1"/>
    <col min="18" max="18" width="19" customWidth="1"/>
    <col min="19" max="19" width="18" customWidth="1"/>
    <col min="20" max="20" width="22" customWidth="1"/>
    <col min="21" max="21" width="20" customWidth="1"/>
    <col min="22" max="22" width="52" customWidth="1"/>
    <col min="23" max="23" width="46" customWidth="1"/>
  </cols>
  <sheetData>
    <row r="1" spans="1:23" ht="18.649999999999999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22.65" customHeight="1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4" spans="1:23" ht="22.65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</row>
    <row r="5" spans="1:23" ht="30.65" customHeight="1">
      <c r="A5" s="4">
        <v>1</v>
      </c>
      <c r="B5" s="5">
        <v>46266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30</v>
      </c>
      <c r="I5" s="4" t="s">
        <v>31</v>
      </c>
      <c r="J5" s="4" t="s">
        <v>32</v>
      </c>
      <c r="K5" s="4" t="s">
        <v>33</v>
      </c>
      <c r="L5" s="4"/>
      <c r="M5" s="4" t="s">
        <v>34</v>
      </c>
      <c r="N5" s="4" t="s">
        <v>35</v>
      </c>
      <c r="O5" s="4" t="s">
        <v>36</v>
      </c>
      <c r="P5" s="4" t="s">
        <v>37</v>
      </c>
      <c r="Q5" s="4" t="s">
        <v>38</v>
      </c>
      <c r="R5" s="4" t="s">
        <v>39</v>
      </c>
      <c r="S5" s="4" t="s">
        <v>33</v>
      </c>
      <c r="T5" s="4"/>
      <c r="U5" s="4" t="str">
        <f t="shared" ref="U5:U36" si="0">IF(C5="Friday","Friday Off",IF(AND(K5="Published",S5="Published"),"Both Published",IF(OR(K5="Needs Reschedule",S5="Needs Reschedule"),"Needs Reschedule",IF(OR(K5="Published",S5="Published"),"Partially Published",IF(AND(K5="Scheduled",S5="Scheduled"),"Scheduled","Planned")))))</f>
        <v>Both Published</v>
      </c>
      <c r="V5" s="4" t="s">
        <v>40</v>
      </c>
      <c r="W5" s="4" t="s">
        <v>41</v>
      </c>
    </row>
    <row r="6" spans="1:23" ht="30.65" customHeight="1">
      <c r="A6" s="4">
        <v>2</v>
      </c>
      <c r="B6" s="5">
        <v>46267</v>
      </c>
      <c r="C6" s="4" t="s">
        <v>42</v>
      </c>
      <c r="D6" s="4" t="s">
        <v>26</v>
      </c>
      <c r="E6" s="4" t="s">
        <v>27</v>
      </c>
      <c r="F6" s="4" t="s">
        <v>28</v>
      </c>
      <c r="G6" s="4" t="s">
        <v>29</v>
      </c>
      <c r="H6" s="4" t="s">
        <v>43</v>
      </c>
      <c r="I6" s="4" t="s">
        <v>44</v>
      </c>
      <c r="J6" s="4" t="s">
        <v>45</v>
      </c>
      <c r="K6" s="4" t="s">
        <v>33</v>
      </c>
      <c r="L6" s="4"/>
      <c r="M6" s="4" t="s">
        <v>34</v>
      </c>
      <c r="N6" s="4" t="s">
        <v>35</v>
      </c>
      <c r="O6" s="4" t="s">
        <v>46</v>
      </c>
      <c r="P6" s="4" t="s">
        <v>47</v>
      </c>
      <c r="Q6" s="4" t="s">
        <v>48</v>
      </c>
      <c r="R6" s="4" t="s">
        <v>39</v>
      </c>
      <c r="S6" s="4" t="s">
        <v>33</v>
      </c>
      <c r="T6" s="4"/>
      <c r="U6" s="4" t="str">
        <f t="shared" si="0"/>
        <v>Both Published</v>
      </c>
      <c r="V6" s="4" t="s">
        <v>49</v>
      </c>
      <c r="W6" s="4" t="s">
        <v>41</v>
      </c>
    </row>
    <row r="7" spans="1:23" ht="30.65" customHeight="1">
      <c r="A7" s="4">
        <v>3</v>
      </c>
      <c r="B7" s="5">
        <v>46268</v>
      </c>
      <c r="C7" s="4" t="s">
        <v>50</v>
      </c>
      <c r="D7" s="4" t="s">
        <v>26</v>
      </c>
      <c r="E7" s="4" t="s">
        <v>51</v>
      </c>
      <c r="F7" s="4" t="s">
        <v>52</v>
      </c>
      <c r="G7" s="4" t="s">
        <v>29</v>
      </c>
      <c r="H7" s="4" t="s">
        <v>53</v>
      </c>
      <c r="I7" s="4" t="s">
        <v>31</v>
      </c>
      <c r="J7" s="4" t="s">
        <v>54</v>
      </c>
      <c r="K7" s="4" t="s">
        <v>33</v>
      </c>
      <c r="L7" s="4"/>
      <c r="M7" s="4" t="s">
        <v>34</v>
      </c>
      <c r="N7" s="4" t="s">
        <v>55</v>
      </c>
      <c r="O7" s="4" t="s">
        <v>56</v>
      </c>
      <c r="P7" s="4" t="s">
        <v>44</v>
      </c>
      <c r="Q7" s="4" t="s">
        <v>57</v>
      </c>
      <c r="R7" s="4" t="s">
        <v>58</v>
      </c>
      <c r="S7" s="4" t="s">
        <v>33</v>
      </c>
      <c r="T7" s="4"/>
      <c r="U7" s="4" t="str">
        <f t="shared" si="0"/>
        <v>Both Published</v>
      </c>
      <c r="V7" s="4" t="s">
        <v>59</v>
      </c>
      <c r="W7" s="4" t="s">
        <v>60</v>
      </c>
    </row>
    <row r="8" spans="1:23" ht="30.65" customHeight="1">
      <c r="A8" s="4">
        <v>4</v>
      </c>
      <c r="B8" s="5">
        <v>46269</v>
      </c>
      <c r="C8" s="4" t="s">
        <v>61</v>
      </c>
      <c r="D8" s="4" t="s">
        <v>26</v>
      </c>
      <c r="E8" s="4" t="s">
        <v>62</v>
      </c>
      <c r="F8" s="4" t="s">
        <v>63</v>
      </c>
      <c r="G8" s="4" t="s">
        <v>62</v>
      </c>
      <c r="H8" s="4" t="s">
        <v>62</v>
      </c>
      <c r="I8" s="4" t="s">
        <v>62</v>
      </c>
      <c r="J8" s="4" t="s">
        <v>64</v>
      </c>
      <c r="K8" s="4" t="s">
        <v>63</v>
      </c>
      <c r="L8" s="4"/>
      <c r="M8" s="4" t="s">
        <v>62</v>
      </c>
      <c r="N8" s="4" t="s">
        <v>62</v>
      </c>
      <c r="O8" s="4" t="s">
        <v>62</v>
      </c>
      <c r="P8" s="4" t="s">
        <v>62</v>
      </c>
      <c r="Q8" s="4" t="s">
        <v>64</v>
      </c>
      <c r="R8" s="4" t="s">
        <v>62</v>
      </c>
      <c r="S8" s="4" t="s">
        <v>63</v>
      </c>
      <c r="T8" s="4"/>
      <c r="U8" s="4" t="str">
        <f t="shared" si="0"/>
        <v>Friday Off</v>
      </c>
      <c r="V8" s="4" t="s">
        <v>65</v>
      </c>
      <c r="W8" s="4" t="s">
        <v>66</v>
      </c>
    </row>
    <row r="9" spans="1:23" ht="30.65" customHeight="1">
      <c r="A9" s="4">
        <v>5</v>
      </c>
      <c r="B9" s="5">
        <v>46270</v>
      </c>
      <c r="C9" s="4" t="s">
        <v>67</v>
      </c>
      <c r="D9" s="4" t="s">
        <v>26</v>
      </c>
      <c r="E9" s="4" t="s">
        <v>68</v>
      </c>
      <c r="F9" s="4" t="s">
        <v>28</v>
      </c>
      <c r="G9" s="4" t="s">
        <v>29</v>
      </c>
      <c r="H9" s="4" t="s">
        <v>69</v>
      </c>
      <c r="I9" s="4" t="s">
        <v>44</v>
      </c>
      <c r="J9" s="4" t="s">
        <v>70</v>
      </c>
      <c r="K9" s="4" t="s">
        <v>33</v>
      </c>
      <c r="L9" s="4"/>
      <c r="M9" s="4" t="s">
        <v>34</v>
      </c>
      <c r="N9" s="4" t="s">
        <v>35</v>
      </c>
      <c r="O9" s="4" t="s">
        <v>71</v>
      </c>
      <c r="P9" s="4" t="s">
        <v>37</v>
      </c>
      <c r="Q9" s="4" t="s">
        <v>72</v>
      </c>
      <c r="R9" s="4" t="s">
        <v>39</v>
      </c>
      <c r="S9" s="4" t="s">
        <v>33</v>
      </c>
      <c r="T9" s="4"/>
      <c r="U9" s="4" t="str">
        <f t="shared" si="0"/>
        <v>Both Published</v>
      </c>
      <c r="V9" s="4" t="s">
        <v>73</v>
      </c>
      <c r="W9" s="4" t="s">
        <v>41</v>
      </c>
    </row>
    <row r="10" spans="1:23" ht="30.65" customHeight="1">
      <c r="A10" s="4">
        <v>6</v>
      </c>
      <c r="B10" s="5">
        <v>46271</v>
      </c>
      <c r="C10" s="4" t="s">
        <v>74</v>
      </c>
      <c r="D10" s="4" t="s">
        <v>26</v>
      </c>
      <c r="E10" s="4" t="s">
        <v>68</v>
      </c>
      <c r="F10" s="4" t="s">
        <v>28</v>
      </c>
      <c r="G10" s="4" t="s">
        <v>29</v>
      </c>
      <c r="H10" s="4" t="s">
        <v>75</v>
      </c>
      <c r="I10" s="4" t="s">
        <v>31</v>
      </c>
      <c r="J10" s="4" t="s">
        <v>76</v>
      </c>
      <c r="K10" s="4" t="s">
        <v>33</v>
      </c>
      <c r="L10" s="4"/>
      <c r="M10" s="4" t="s">
        <v>34</v>
      </c>
      <c r="N10" s="4" t="s">
        <v>35</v>
      </c>
      <c r="O10" s="4" t="s">
        <v>77</v>
      </c>
      <c r="P10" s="4" t="s">
        <v>47</v>
      </c>
      <c r="Q10" s="4" t="s">
        <v>78</v>
      </c>
      <c r="R10" s="4" t="s">
        <v>39</v>
      </c>
      <c r="S10" s="4" t="s">
        <v>33</v>
      </c>
      <c r="T10" s="4"/>
      <c r="U10" s="4" t="str">
        <f t="shared" si="0"/>
        <v>Both Published</v>
      </c>
      <c r="V10" s="4" t="s">
        <v>79</v>
      </c>
      <c r="W10" s="4" t="s">
        <v>80</v>
      </c>
    </row>
    <row r="11" spans="1:23" ht="30.65" customHeight="1">
      <c r="A11" s="4">
        <v>7</v>
      </c>
      <c r="B11" s="5">
        <v>46272</v>
      </c>
      <c r="C11" s="4" t="s">
        <v>81</v>
      </c>
      <c r="D11" s="4" t="s">
        <v>26</v>
      </c>
      <c r="E11" s="4" t="s">
        <v>27</v>
      </c>
      <c r="F11" s="4" t="s">
        <v>82</v>
      </c>
      <c r="G11" s="4" t="s">
        <v>29</v>
      </c>
      <c r="H11" s="4" t="s">
        <v>83</v>
      </c>
      <c r="I11" s="4" t="s">
        <v>31</v>
      </c>
      <c r="J11" s="4" t="s">
        <v>84</v>
      </c>
      <c r="K11" s="4" t="s">
        <v>85</v>
      </c>
      <c r="L11" s="4"/>
      <c r="M11" s="4" t="s">
        <v>34</v>
      </c>
      <c r="N11" s="4" t="s">
        <v>35</v>
      </c>
      <c r="O11" s="4" t="s">
        <v>86</v>
      </c>
      <c r="P11" s="4" t="s">
        <v>37</v>
      </c>
      <c r="Q11" s="4" t="s">
        <v>87</v>
      </c>
      <c r="R11" s="4" t="s">
        <v>39</v>
      </c>
      <c r="S11" s="4" t="s">
        <v>85</v>
      </c>
      <c r="T11" s="4"/>
      <c r="U11" s="4" t="str">
        <f t="shared" si="0"/>
        <v>Scheduled</v>
      </c>
      <c r="V11" s="4" t="s">
        <v>88</v>
      </c>
      <c r="W11" s="4" t="s">
        <v>89</v>
      </c>
    </row>
    <row r="12" spans="1:23" ht="30.65" customHeight="1">
      <c r="A12" s="4">
        <v>8</v>
      </c>
      <c r="B12" s="5">
        <v>46273</v>
      </c>
      <c r="C12" s="4" t="s">
        <v>25</v>
      </c>
      <c r="D12" s="4" t="s">
        <v>90</v>
      </c>
      <c r="E12" s="4" t="s">
        <v>27</v>
      </c>
      <c r="F12" s="4" t="s">
        <v>91</v>
      </c>
      <c r="G12" s="4" t="s">
        <v>29</v>
      </c>
      <c r="H12" s="4" t="s">
        <v>92</v>
      </c>
      <c r="I12" s="4" t="s">
        <v>93</v>
      </c>
      <c r="J12" s="4" t="s">
        <v>94</v>
      </c>
      <c r="K12" s="4" t="s">
        <v>85</v>
      </c>
      <c r="L12" s="4"/>
      <c r="M12" s="4" t="s">
        <v>34</v>
      </c>
      <c r="N12" s="4" t="s">
        <v>35</v>
      </c>
      <c r="O12" s="4" t="s">
        <v>95</v>
      </c>
      <c r="P12" s="4" t="s">
        <v>47</v>
      </c>
      <c r="Q12" s="4" t="s">
        <v>96</v>
      </c>
      <c r="R12" s="4" t="s">
        <v>97</v>
      </c>
      <c r="S12" s="4" t="s">
        <v>85</v>
      </c>
      <c r="T12" s="4"/>
      <c r="U12" s="4" t="str">
        <f t="shared" si="0"/>
        <v>Scheduled</v>
      </c>
      <c r="V12" s="4" t="s">
        <v>88</v>
      </c>
      <c r="W12" s="4" t="s">
        <v>89</v>
      </c>
    </row>
    <row r="13" spans="1:23" ht="30.65" customHeight="1">
      <c r="A13" s="4">
        <v>9</v>
      </c>
      <c r="B13" s="5">
        <v>46274</v>
      </c>
      <c r="C13" s="4" t="s">
        <v>42</v>
      </c>
      <c r="D13" s="4" t="s">
        <v>90</v>
      </c>
      <c r="E13" s="4" t="s">
        <v>68</v>
      </c>
      <c r="F13" s="4" t="s">
        <v>98</v>
      </c>
      <c r="G13" s="4" t="s">
        <v>29</v>
      </c>
      <c r="H13" s="4" t="s">
        <v>99</v>
      </c>
      <c r="I13" s="4" t="s">
        <v>31</v>
      </c>
      <c r="J13" s="4" t="s">
        <v>100</v>
      </c>
      <c r="K13" s="4" t="s">
        <v>101</v>
      </c>
      <c r="L13" s="4"/>
      <c r="M13" s="4" t="s">
        <v>34</v>
      </c>
      <c r="N13" s="4" t="s">
        <v>35</v>
      </c>
      <c r="O13" s="4" t="s">
        <v>102</v>
      </c>
      <c r="P13" s="4" t="s">
        <v>37</v>
      </c>
      <c r="Q13" s="4" t="s">
        <v>103</v>
      </c>
      <c r="R13" s="4" t="s">
        <v>39</v>
      </c>
      <c r="S13" s="4" t="s">
        <v>85</v>
      </c>
      <c r="T13" s="4"/>
      <c r="U13" s="4" t="str">
        <f t="shared" si="0"/>
        <v>Needs Reschedule</v>
      </c>
      <c r="V13" s="4" t="s">
        <v>104</v>
      </c>
      <c r="W13" s="4" t="s">
        <v>105</v>
      </c>
    </row>
    <row r="14" spans="1:23" ht="30.65" customHeight="1">
      <c r="A14" s="4">
        <v>10</v>
      </c>
      <c r="B14" s="5">
        <v>46275</v>
      </c>
      <c r="C14" s="4" t="s">
        <v>50</v>
      </c>
      <c r="D14" s="4" t="s">
        <v>90</v>
      </c>
      <c r="E14" s="4" t="s">
        <v>68</v>
      </c>
      <c r="F14" s="4" t="s">
        <v>106</v>
      </c>
      <c r="G14" s="4" t="s">
        <v>29</v>
      </c>
      <c r="H14" s="4" t="s">
        <v>107</v>
      </c>
      <c r="I14" s="4" t="s">
        <v>44</v>
      </c>
      <c r="J14" s="4" t="s">
        <v>108</v>
      </c>
      <c r="K14" s="4" t="s">
        <v>101</v>
      </c>
      <c r="L14" s="4"/>
      <c r="M14" s="4" t="s">
        <v>34</v>
      </c>
      <c r="N14" s="4" t="s">
        <v>35</v>
      </c>
      <c r="O14" s="4" t="s">
        <v>109</v>
      </c>
      <c r="P14" s="4" t="s">
        <v>47</v>
      </c>
      <c r="Q14" s="4" t="s">
        <v>110</v>
      </c>
      <c r="R14" s="4" t="s">
        <v>97</v>
      </c>
      <c r="S14" s="4" t="s">
        <v>85</v>
      </c>
      <c r="T14" s="4"/>
      <c r="U14" s="4" t="str">
        <f t="shared" si="0"/>
        <v>Needs Reschedule</v>
      </c>
      <c r="V14" s="4" t="s">
        <v>104</v>
      </c>
      <c r="W14" s="4" t="s">
        <v>105</v>
      </c>
    </row>
    <row r="15" spans="1:23" ht="30.65" customHeight="1">
      <c r="A15" s="4">
        <v>11</v>
      </c>
      <c r="B15" s="5">
        <v>46276</v>
      </c>
      <c r="C15" s="4" t="s">
        <v>61</v>
      </c>
      <c r="D15" s="4" t="s">
        <v>90</v>
      </c>
      <c r="E15" s="4" t="s">
        <v>62</v>
      </c>
      <c r="F15" s="4" t="s">
        <v>63</v>
      </c>
      <c r="G15" s="4" t="s">
        <v>62</v>
      </c>
      <c r="H15" s="4" t="s">
        <v>62</v>
      </c>
      <c r="I15" s="4" t="s">
        <v>62</v>
      </c>
      <c r="J15" s="4" t="s">
        <v>64</v>
      </c>
      <c r="K15" s="4" t="s">
        <v>63</v>
      </c>
      <c r="L15" s="4"/>
      <c r="M15" s="4" t="s">
        <v>62</v>
      </c>
      <c r="N15" s="4" t="s">
        <v>62</v>
      </c>
      <c r="O15" s="4" t="s">
        <v>62</v>
      </c>
      <c r="P15" s="4" t="s">
        <v>62</v>
      </c>
      <c r="Q15" s="4" t="s">
        <v>64</v>
      </c>
      <c r="R15" s="4" t="s">
        <v>62</v>
      </c>
      <c r="S15" s="4" t="s">
        <v>63</v>
      </c>
      <c r="T15" s="4"/>
      <c r="U15" s="4" t="str">
        <f t="shared" si="0"/>
        <v>Friday Off</v>
      </c>
      <c r="V15" s="4" t="s">
        <v>65</v>
      </c>
      <c r="W15" s="4" t="s">
        <v>66</v>
      </c>
    </row>
    <row r="16" spans="1:23" ht="30.65" customHeight="1">
      <c r="A16" s="4">
        <v>12</v>
      </c>
      <c r="B16" s="5">
        <v>46277</v>
      </c>
      <c r="C16" s="4" t="s">
        <v>67</v>
      </c>
      <c r="D16" s="4" t="s">
        <v>90</v>
      </c>
      <c r="E16" s="4" t="s">
        <v>111</v>
      </c>
      <c r="F16" s="4" t="s">
        <v>112</v>
      </c>
      <c r="G16" s="4" t="s">
        <v>29</v>
      </c>
      <c r="H16" s="4" t="s">
        <v>113</v>
      </c>
      <c r="I16" s="4" t="s">
        <v>31</v>
      </c>
      <c r="J16" s="4" t="s">
        <v>114</v>
      </c>
      <c r="K16" s="4" t="s">
        <v>115</v>
      </c>
      <c r="L16" s="4"/>
      <c r="M16" s="4" t="s">
        <v>34</v>
      </c>
      <c r="N16" s="4" t="s">
        <v>35</v>
      </c>
      <c r="O16" s="4" t="s">
        <v>116</v>
      </c>
      <c r="P16" s="4" t="s">
        <v>37</v>
      </c>
      <c r="Q16" s="4" t="s">
        <v>117</v>
      </c>
      <c r="R16" s="4" t="s">
        <v>39</v>
      </c>
      <c r="S16" s="4" t="s">
        <v>115</v>
      </c>
      <c r="T16" s="4"/>
      <c r="U16" s="4" t="str">
        <f t="shared" si="0"/>
        <v>Planned</v>
      </c>
      <c r="V16" s="4" t="s">
        <v>118</v>
      </c>
      <c r="W16" s="4"/>
    </row>
    <row r="17" spans="1:23" ht="30.65" customHeight="1">
      <c r="A17" s="4">
        <v>13</v>
      </c>
      <c r="B17" s="5">
        <v>46278</v>
      </c>
      <c r="C17" s="4" t="s">
        <v>74</v>
      </c>
      <c r="D17" s="4" t="s">
        <v>90</v>
      </c>
      <c r="E17" s="4" t="s">
        <v>111</v>
      </c>
      <c r="F17" s="4" t="s">
        <v>119</v>
      </c>
      <c r="G17" s="4" t="s">
        <v>29</v>
      </c>
      <c r="H17" s="4" t="s">
        <v>120</v>
      </c>
      <c r="I17" s="4" t="s">
        <v>44</v>
      </c>
      <c r="J17" s="4" t="s">
        <v>121</v>
      </c>
      <c r="K17" s="4" t="s">
        <v>115</v>
      </c>
      <c r="L17" s="4"/>
      <c r="M17" s="4" t="s">
        <v>34</v>
      </c>
      <c r="N17" s="4" t="s">
        <v>35</v>
      </c>
      <c r="O17" s="4" t="s">
        <v>122</v>
      </c>
      <c r="P17" s="4" t="s">
        <v>47</v>
      </c>
      <c r="Q17" s="4" t="s">
        <v>123</v>
      </c>
      <c r="R17" s="4" t="s">
        <v>97</v>
      </c>
      <c r="S17" s="4" t="s">
        <v>115</v>
      </c>
      <c r="T17" s="4"/>
      <c r="U17" s="4" t="str">
        <f t="shared" si="0"/>
        <v>Planned</v>
      </c>
      <c r="V17" s="4" t="s">
        <v>118</v>
      </c>
      <c r="W17" s="4"/>
    </row>
    <row r="18" spans="1:23" ht="30.65" customHeight="1">
      <c r="A18" s="4">
        <v>14</v>
      </c>
      <c r="B18" s="5">
        <v>46279</v>
      </c>
      <c r="C18" s="4" t="s">
        <v>81</v>
      </c>
      <c r="D18" s="4" t="s">
        <v>90</v>
      </c>
      <c r="E18" s="4" t="s">
        <v>27</v>
      </c>
      <c r="F18" s="4" t="s">
        <v>124</v>
      </c>
      <c r="G18" s="4" t="s">
        <v>29</v>
      </c>
      <c r="H18" s="4" t="s">
        <v>125</v>
      </c>
      <c r="I18" s="4" t="s">
        <v>44</v>
      </c>
      <c r="J18" s="4" t="s">
        <v>126</v>
      </c>
      <c r="K18" s="4" t="s">
        <v>115</v>
      </c>
      <c r="L18" s="4"/>
      <c r="M18" s="4" t="s">
        <v>34</v>
      </c>
      <c r="N18" s="4" t="s">
        <v>35</v>
      </c>
      <c r="O18" s="4" t="s">
        <v>127</v>
      </c>
      <c r="P18" s="4" t="s">
        <v>37</v>
      </c>
      <c r="Q18" s="4" t="s">
        <v>128</v>
      </c>
      <c r="R18" s="4" t="s">
        <v>39</v>
      </c>
      <c r="S18" s="4" t="s">
        <v>115</v>
      </c>
      <c r="T18" s="4"/>
      <c r="U18" s="4" t="str">
        <f t="shared" si="0"/>
        <v>Planned</v>
      </c>
      <c r="V18" s="4" t="s">
        <v>88</v>
      </c>
      <c r="W18" s="4"/>
    </row>
    <row r="19" spans="1:23" ht="30.65" customHeight="1">
      <c r="A19" s="4">
        <v>15</v>
      </c>
      <c r="B19" s="5">
        <v>46280</v>
      </c>
      <c r="C19" s="4" t="s">
        <v>25</v>
      </c>
      <c r="D19" s="4" t="s">
        <v>129</v>
      </c>
      <c r="E19" s="4" t="s">
        <v>27</v>
      </c>
      <c r="F19" s="4" t="s">
        <v>130</v>
      </c>
      <c r="G19" s="4" t="s">
        <v>29</v>
      </c>
      <c r="H19" s="4" t="s">
        <v>131</v>
      </c>
      <c r="I19" s="4" t="s">
        <v>31</v>
      </c>
      <c r="J19" s="4" t="s">
        <v>132</v>
      </c>
      <c r="K19" s="4" t="s">
        <v>115</v>
      </c>
      <c r="L19" s="4"/>
      <c r="M19" s="4" t="s">
        <v>34</v>
      </c>
      <c r="N19" s="4" t="s">
        <v>35</v>
      </c>
      <c r="O19" s="4" t="s">
        <v>133</v>
      </c>
      <c r="P19" s="4" t="s">
        <v>47</v>
      </c>
      <c r="Q19" s="4" t="s">
        <v>134</v>
      </c>
      <c r="R19" s="4" t="s">
        <v>39</v>
      </c>
      <c r="S19" s="4" t="s">
        <v>115</v>
      </c>
      <c r="T19" s="4"/>
      <c r="U19" s="4" t="str">
        <f t="shared" si="0"/>
        <v>Planned</v>
      </c>
      <c r="V19" s="4" t="s">
        <v>88</v>
      </c>
      <c r="W19" s="4"/>
    </row>
    <row r="20" spans="1:23" ht="30.65" customHeight="1">
      <c r="A20" s="4">
        <v>16</v>
      </c>
      <c r="B20" s="5">
        <v>46281</v>
      </c>
      <c r="C20" s="4" t="s">
        <v>42</v>
      </c>
      <c r="D20" s="4" t="s">
        <v>129</v>
      </c>
      <c r="E20" s="4" t="s">
        <v>68</v>
      </c>
      <c r="F20" s="4" t="s">
        <v>135</v>
      </c>
      <c r="G20" s="4" t="s">
        <v>29</v>
      </c>
      <c r="H20" s="4" t="s">
        <v>136</v>
      </c>
      <c r="I20" s="4" t="s">
        <v>31</v>
      </c>
      <c r="J20" s="4" t="s">
        <v>137</v>
      </c>
      <c r="K20" s="4" t="s">
        <v>115</v>
      </c>
      <c r="L20" s="4"/>
      <c r="M20" s="4" t="s">
        <v>34</v>
      </c>
      <c r="N20" s="4" t="s">
        <v>35</v>
      </c>
      <c r="O20" s="4" t="s">
        <v>138</v>
      </c>
      <c r="P20" s="4" t="s">
        <v>37</v>
      </c>
      <c r="Q20" s="4" t="s">
        <v>139</v>
      </c>
      <c r="R20" s="4" t="s">
        <v>39</v>
      </c>
      <c r="S20" s="4" t="s">
        <v>115</v>
      </c>
      <c r="T20" s="4"/>
      <c r="U20" s="4" t="str">
        <f t="shared" si="0"/>
        <v>Planned</v>
      </c>
      <c r="V20" s="4" t="s">
        <v>104</v>
      </c>
      <c r="W20" s="4"/>
    </row>
    <row r="21" spans="1:23" ht="30.65" customHeight="1">
      <c r="A21" s="4">
        <v>17</v>
      </c>
      <c r="B21" s="5">
        <v>46282</v>
      </c>
      <c r="C21" s="4" t="s">
        <v>50</v>
      </c>
      <c r="D21" s="4" t="s">
        <v>129</v>
      </c>
      <c r="E21" s="4" t="s">
        <v>68</v>
      </c>
      <c r="F21" s="4" t="s">
        <v>140</v>
      </c>
      <c r="G21" s="4" t="s">
        <v>29</v>
      </c>
      <c r="H21" s="4" t="s">
        <v>141</v>
      </c>
      <c r="I21" s="4" t="s">
        <v>44</v>
      </c>
      <c r="J21" s="4" t="s">
        <v>142</v>
      </c>
      <c r="K21" s="4" t="s">
        <v>115</v>
      </c>
      <c r="L21" s="4"/>
      <c r="M21" s="4" t="s">
        <v>34</v>
      </c>
      <c r="N21" s="4" t="s">
        <v>35</v>
      </c>
      <c r="O21" s="4" t="s">
        <v>143</v>
      </c>
      <c r="P21" s="4" t="s">
        <v>47</v>
      </c>
      <c r="Q21" s="4" t="s">
        <v>144</v>
      </c>
      <c r="R21" s="4" t="s">
        <v>39</v>
      </c>
      <c r="S21" s="4" t="s">
        <v>115</v>
      </c>
      <c r="T21" s="4"/>
      <c r="U21" s="4" t="str">
        <f t="shared" si="0"/>
        <v>Planned</v>
      </c>
      <c r="V21" s="4" t="s">
        <v>104</v>
      </c>
      <c r="W21" s="4"/>
    </row>
    <row r="22" spans="1:23" ht="30.65" customHeight="1">
      <c r="A22" s="4">
        <v>18</v>
      </c>
      <c r="B22" s="5">
        <v>46283</v>
      </c>
      <c r="C22" s="4" t="s">
        <v>61</v>
      </c>
      <c r="D22" s="4" t="s">
        <v>129</v>
      </c>
      <c r="E22" s="4" t="s">
        <v>62</v>
      </c>
      <c r="F22" s="4" t="s">
        <v>63</v>
      </c>
      <c r="G22" s="4" t="s">
        <v>62</v>
      </c>
      <c r="H22" s="4" t="s">
        <v>62</v>
      </c>
      <c r="I22" s="4" t="s">
        <v>62</v>
      </c>
      <c r="J22" s="4" t="s">
        <v>64</v>
      </c>
      <c r="K22" s="4" t="s">
        <v>63</v>
      </c>
      <c r="L22" s="4"/>
      <c r="M22" s="4" t="s">
        <v>62</v>
      </c>
      <c r="N22" s="4" t="s">
        <v>62</v>
      </c>
      <c r="O22" s="4" t="s">
        <v>62</v>
      </c>
      <c r="P22" s="4" t="s">
        <v>62</v>
      </c>
      <c r="Q22" s="4" t="s">
        <v>64</v>
      </c>
      <c r="R22" s="4" t="s">
        <v>62</v>
      </c>
      <c r="S22" s="4" t="s">
        <v>63</v>
      </c>
      <c r="T22" s="4"/>
      <c r="U22" s="4" t="str">
        <f t="shared" si="0"/>
        <v>Friday Off</v>
      </c>
      <c r="V22" s="4" t="s">
        <v>65</v>
      </c>
      <c r="W22" s="4" t="s">
        <v>66</v>
      </c>
    </row>
    <row r="23" spans="1:23" ht="30.65" customHeight="1">
      <c r="A23" s="4">
        <v>19</v>
      </c>
      <c r="B23" s="5">
        <v>46284</v>
      </c>
      <c r="C23" s="4" t="s">
        <v>67</v>
      </c>
      <c r="D23" s="4" t="s">
        <v>129</v>
      </c>
      <c r="E23" s="4" t="s">
        <v>111</v>
      </c>
      <c r="F23" s="4" t="s">
        <v>145</v>
      </c>
      <c r="G23" s="4" t="s">
        <v>29</v>
      </c>
      <c r="H23" s="4" t="s">
        <v>146</v>
      </c>
      <c r="I23" s="4" t="s">
        <v>31</v>
      </c>
      <c r="J23" s="4" t="s">
        <v>147</v>
      </c>
      <c r="K23" s="4" t="s">
        <v>115</v>
      </c>
      <c r="L23" s="4"/>
      <c r="M23" s="4" t="s">
        <v>34</v>
      </c>
      <c r="N23" s="4" t="s">
        <v>35</v>
      </c>
      <c r="O23" s="4" t="s">
        <v>148</v>
      </c>
      <c r="P23" s="4" t="s">
        <v>37</v>
      </c>
      <c r="Q23" s="4" t="s">
        <v>149</v>
      </c>
      <c r="R23" s="4" t="s">
        <v>39</v>
      </c>
      <c r="S23" s="4" t="s">
        <v>115</v>
      </c>
      <c r="T23" s="4"/>
      <c r="U23" s="4" t="str">
        <f t="shared" si="0"/>
        <v>Planned</v>
      </c>
      <c r="V23" s="4" t="s">
        <v>118</v>
      </c>
      <c r="W23" s="4"/>
    </row>
    <row r="24" spans="1:23" ht="30.65" customHeight="1">
      <c r="A24" s="4">
        <v>20</v>
      </c>
      <c r="B24" s="5">
        <v>46285</v>
      </c>
      <c r="C24" s="4" t="s">
        <v>74</v>
      </c>
      <c r="D24" s="4" t="s">
        <v>129</v>
      </c>
      <c r="E24" s="4" t="s">
        <v>111</v>
      </c>
      <c r="F24" s="4" t="s">
        <v>150</v>
      </c>
      <c r="G24" s="4" t="s">
        <v>29</v>
      </c>
      <c r="H24" s="4" t="s">
        <v>151</v>
      </c>
      <c r="I24" s="4" t="s">
        <v>44</v>
      </c>
      <c r="J24" s="4" t="s">
        <v>152</v>
      </c>
      <c r="K24" s="4" t="s">
        <v>115</v>
      </c>
      <c r="L24" s="4"/>
      <c r="M24" s="4" t="s">
        <v>34</v>
      </c>
      <c r="N24" s="4" t="s">
        <v>35</v>
      </c>
      <c r="O24" s="4" t="s">
        <v>153</v>
      </c>
      <c r="P24" s="4" t="s">
        <v>47</v>
      </c>
      <c r="Q24" s="4" t="s">
        <v>154</v>
      </c>
      <c r="R24" s="4" t="s">
        <v>39</v>
      </c>
      <c r="S24" s="4" t="s">
        <v>115</v>
      </c>
      <c r="T24" s="4"/>
      <c r="U24" s="4" t="str">
        <f t="shared" si="0"/>
        <v>Planned</v>
      </c>
      <c r="V24" s="4" t="s">
        <v>118</v>
      </c>
      <c r="W24" s="4"/>
    </row>
    <row r="25" spans="1:23" ht="30.65" customHeight="1">
      <c r="A25" s="4">
        <v>21</v>
      </c>
      <c r="B25" s="5">
        <v>46286</v>
      </c>
      <c r="C25" s="4" t="s">
        <v>81</v>
      </c>
      <c r="D25" s="4" t="s">
        <v>129</v>
      </c>
      <c r="E25" s="4" t="s">
        <v>27</v>
      </c>
      <c r="F25" s="4" t="s">
        <v>155</v>
      </c>
      <c r="G25" s="4" t="s">
        <v>29</v>
      </c>
      <c r="H25" s="4" t="s">
        <v>156</v>
      </c>
      <c r="I25" s="4" t="s">
        <v>31</v>
      </c>
      <c r="J25" s="4" t="s">
        <v>157</v>
      </c>
      <c r="K25" s="4" t="s">
        <v>115</v>
      </c>
      <c r="L25" s="4"/>
      <c r="M25" s="4" t="s">
        <v>34</v>
      </c>
      <c r="N25" s="4" t="s">
        <v>35</v>
      </c>
      <c r="O25" s="4" t="s">
        <v>158</v>
      </c>
      <c r="P25" s="4" t="s">
        <v>37</v>
      </c>
      <c r="Q25" s="4" t="s">
        <v>159</v>
      </c>
      <c r="R25" s="4" t="s">
        <v>39</v>
      </c>
      <c r="S25" s="4" t="s">
        <v>115</v>
      </c>
      <c r="T25" s="4"/>
      <c r="U25" s="4" t="str">
        <f t="shared" si="0"/>
        <v>Planned</v>
      </c>
      <c r="V25" s="4" t="s">
        <v>88</v>
      </c>
      <c r="W25" s="4"/>
    </row>
    <row r="26" spans="1:23" ht="30.65" customHeight="1">
      <c r="A26" s="4">
        <v>22</v>
      </c>
      <c r="B26" s="5">
        <v>46287</v>
      </c>
      <c r="C26" s="4" t="s">
        <v>25</v>
      </c>
      <c r="D26" s="4" t="s">
        <v>160</v>
      </c>
      <c r="E26" s="4" t="s">
        <v>27</v>
      </c>
      <c r="F26" s="4" t="s">
        <v>161</v>
      </c>
      <c r="G26" s="4" t="s">
        <v>29</v>
      </c>
      <c r="H26" s="4" t="s">
        <v>162</v>
      </c>
      <c r="I26" s="4" t="s">
        <v>44</v>
      </c>
      <c r="J26" s="4" t="s">
        <v>163</v>
      </c>
      <c r="K26" s="4" t="s">
        <v>115</v>
      </c>
      <c r="L26" s="4"/>
      <c r="M26" s="4" t="s">
        <v>34</v>
      </c>
      <c r="N26" s="4" t="s">
        <v>35</v>
      </c>
      <c r="O26" s="4" t="s">
        <v>164</v>
      </c>
      <c r="P26" s="4" t="s">
        <v>47</v>
      </c>
      <c r="Q26" s="4" t="s">
        <v>165</v>
      </c>
      <c r="R26" s="4" t="s">
        <v>97</v>
      </c>
      <c r="S26" s="4" t="s">
        <v>115</v>
      </c>
      <c r="T26" s="4"/>
      <c r="U26" s="4" t="str">
        <f t="shared" si="0"/>
        <v>Planned</v>
      </c>
      <c r="V26" s="4" t="s">
        <v>88</v>
      </c>
      <c r="W26" s="4"/>
    </row>
    <row r="27" spans="1:23" ht="30.65" customHeight="1">
      <c r="A27" s="4">
        <v>23</v>
      </c>
      <c r="B27" s="5">
        <v>46288</v>
      </c>
      <c r="C27" s="4" t="s">
        <v>42</v>
      </c>
      <c r="D27" s="4" t="s">
        <v>160</v>
      </c>
      <c r="E27" s="4" t="s">
        <v>68</v>
      </c>
      <c r="F27" s="4" t="s">
        <v>166</v>
      </c>
      <c r="G27" s="4" t="s">
        <v>29</v>
      </c>
      <c r="H27" s="4" t="s">
        <v>167</v>
      </c>
      <c r="I27" s="4" t="s">
        <v>31</v>
      </c>
      <c r="J27" s="4" t="s">
        <v>168</v>
      </c>
      <c r="K27" s="4" t="s">
        <v>115</v>
      </c>
      <c r="L27" s="4"/>
      <c r="M27" s="4" t="s">
        <v>34</v>
      </c>
      <c r="N27" s="4" t="s">
        <v>35</v>
      </c>
      <c r="O27" s="4" t="s">
        <v>169</v>
      </c>
      <c r="P27" s="4" t="s">
        <v>37</v>
      </c>
      <c r="Q27" s="4" t="s">
        <v>170</v>
      </c>
      <c r="R27" s="4" t="s">
        <v>39</v>
      </c>
      <c r="S27" s="4" t="s">
        <v>115</v>
      </c>
      <c r="T27" s="4"/>
      <c r="U27" s="4" t="str">
        <f t="shared" si="0"/>
        <v>Planned</v>
      </c>
      <c r="V27" s="4" t="s">
        <v>104</v>
      </c>
      <c r="W27" s="4"/>
    </row>
    <row r="28" spans="1:23" ht="30.65" customHeight="1">
      <c r="A28" s="4">
        <v>24</v>
      </c>
      <c r="B28" s="5">
        <v>46289</v>
      </c>
      <c r="C28" s="4" t="s">
        <v>50</v>
      </c>
      <c r="D28" s="4" t="s">
        <v>160</v>
      </c>
      <c r="E28" s="4" t="s">
        <v>68</v>
      </c>
      <c r="F28" s="4" t="s">
        <v>171</v>
      </c>
      <c r="G28" s="4" t="s">
        <v>29</v>
      </c>
      <c r="H28" s="4" t="s">
        <v>172</v>
      </c>
      <c r="I28" s="4" t="s">
        <v>44</v>
      </c>
      <c r="J28" s="4" t="s">
        <v>173</v>
      </c>
      <c r="K28" s="4" t="s">
        <v>115</v>
      </c>
      <c r="L28" s="4"/>
      <c r="M28" s="4" t="s">
        <v>34</v>
      </c>
      <c r="N28" s="4" t="s">
        <v>35</v>
      </c>
      <c r="O28" s="4" t="s">
        <v>174</v>
      </c>
      <c r="P28" s="4" t="s">
        <v>47</v>
      </c>
      <c r="Q28" s="4" t="s">
        <v>175</v>
      </c>
      <c r="R28" s="4" t="s">
        <v>97</v>
      </c>
      <c r="S28" s="4" t="s">
        <v>115</v>
      </c>
      <c r="T28" s="4"/>
      <c r="U28" s="4" t="str">
        <f t="shared" si="0"/>
        <v>Planned</v>
      </c>
      <c r="V28" s="4" t="s">
        <v>104</v>
      </c>
      <c r="W28" s="4"/>
    </row>
    <row r="29" spans="1:23" ht="30.65" customHeight="1">
      <c r="A29" s="4">
        <v>25</v>
      </c>
      <c r="B29" s="5">
        <v>46290</v>
      </c>
      <c r="C29" s="4" t="s">
        <v>61</v>
      </c>
      <c r="D29" s="4" t="s">
        <v>160</v>
      </c>
      <c r="E29" s="4" t="s">
        <v>62</v>
      </c>
      <c r="F29" s="4" t="s">
        <v>63</v>
      </c>
      <c r="G29" s="4" t="s">
        <v>62</v>
      </c>
      <c r="H29" s="4" t="s">
        <v>62</v>
      </c>
      <c r="I29" s="4" t="s">
        <v>62</v>
      </c>
      <c r="J29" s="4" t="s">
        <v>64</v>
      </c>
      <c r="K29" s="4" t="s">
        <v>63</v>
      </c>
      <c r="L29" s="4"/>
      <c r="M29" s="4" t="s">
        <v>62</v>
      </c>
      <c r="N29" s="4" t="s">
        <v>62</v>
      </c>
      <c r="O29" s="4" t="s">
        <v>62</v>
      </c>
      <c r="P29" s="4" t="s">
        <v>62</v>
      </c>
      <c r="Q29" s="4" t="s">
        <v>64</v>
      </c>
      <c r="R29" s="4" t="s">
        <v>62</v>
      </c>
      <c r="S29" s="4" t="s">
        <v>63</v>
      </c>
      <c r="T29" s="4"/>
      <c r="U29" s="4" t="str">
        <f t="shared" si="0"/>
        <v>Friday Off</v>
      </c>
      <c r="V29" s="4" t="s">
        <v>65</v>
      </c>
      <c r="W29" s="4" t="s">
        <v>66</v>
      </c>
    </row>
    <row r="30" spans="1:23" ht="30.65" customHeight="1">
      <c r="A30" s="4">
        <v>26</v>
      </c>
      <c r="B30" s="5">
        <v>46291</v>
      </c>
      <c r="C30" s="4" t="s">
        <v>67</v>
      </c>
      <c r="D30" s="4" t="s">
        <v>160</v>
      </c>
      <c r="E30" s="4" t="s">
        <v>111</v>
      </c>
      <c r="F30" s="4" t="s">
        <v>176</v>
      </c>
      <c r="G30" s="4" t="s">
        <v>29</v>
      </c>
      <c r="H30" s="4" t="s">
        <v>177</v>
      </c>
      <c r="I30" s="4" t="s">
        <v>31</v>
      </c>
      <c r="J30" s="4" t="s">
        <v>178</v>
      </c>
      <c r="K30" s="4" t="s">
        <v>115</v>
      </c>
      <c r="L30" s="4"/>
      <c r="M30" s="4" t="s">
        <v>34</v>
      </c>
      <c r="N30" s="4" t="s">
        <v>35</v>
      </c>
      <c r="O30" s="4" t="s">
        <v>179</v>
      </c>
      <c r="P30" s="4" t="s">
        <v>37</v>
      </c>
      <c r="Q30" s="4" t="s">
        <v>180</v>
      </c>
      <c r="R30" s="4" t="s">
        <v>39</v>
      </c>
      <c r="S30" s="4" t="s">
        <v>115</v>
      </c>
      <c r="T30" s="4"/>
      <c r="U30" s="4" t="str">
        <f t="shared" si="0"/>
        <v>Planned</v>
      </c>
      <c r="V30" s="4" t="s">
        <v>118</v>
      </c>
      <c r="W30" s="4"/>
    </row>
    <row r="31" spans="1:23" ht="30.65" customHeight="1">
      <c r="A31" s="4">
        <v>27</v>
      </c>
      <c r="B31" s="5">
        <v>46292</v>
      </c>
      <c r="C31" s="4" t="s">
        <v>74</v>
      </c>
      <c r="D31" s="4" t="s">
        <v>160</v>
      </c>
      <c r="E31" s="4" t="s">
        <v>111</v>
      </c>
      <c r="F31" s="4" t="s">
        <v>181</v>
      </c>
      <c r="G31" s="4" t="s">
        <v>29</v>
      </c>
      <c r="H31" s="4" t="s">
        <v>182</v>
      </c>
      <c r="I31" s="4" t="s">
        <v>44</v>
      </c>
      <c r="J31" s="4" t="s">
        <v>183</v>
      </c>
      <c r="K31" s="4" t="s">
        <v>115</v>
      </c>
      <c r="L31" s="4"/>
      <c r="M31" s="4" t="s">
        <v>34</v>
      </c>
      <c r="N31" s="4" t="s">
        <v>35</v>
      </c>
      <c r="O31" s="4" t="s">
        <v>184</v>
      </c>
      <c r="P31" s="4" t="s">
        <v>47</v>
      </c>
      <c r="Q31" s="4" t="s">
        <v>185</v>
      </c>
      <c r="R31" s="4" t="s">
        <v>97</v>
      </c>
      <c r="S31" s="4" t="s">
        <v>115</v>
      </c>
      <c r="T31" s="4"/>
      <c r="U31" s="4" t="str">
        <f t="shared" si="0"/>
        <v>Planned</v>
      </c>
      <c r="V31" s="4" t="s">
        <v>118</v>
      </c>
      <c r="W31" s="4"/>
    </row>
    <row r="32" spans="1:23" ht="30.65" customHeight="1">
      <c r="A32" s="4">
        <v>28</v>
      </c>
      <c r="B32" s="5">
        <v>46293</v>
      </c>
      <c r="C32" s="4" t="s">
        <v>81</v>
      </c>
      <c r="D32" s="4" t="s">
        <v>160</v>
      </c>
      <c r="E32" s="4" t="s">
        <v>27</v>
      </c>
      <c r="F32" s="4" t="s">
        <v>186</v>
      </c>
      <c r="G32" s="4" t="s">
        <v>29</v>
      </c>
      <c r="H32" s="4" t="s">
        <v>187</v>
      </c>
      <c r="I32" s="4" t="s">
        <v>31</v>
      </c>
      <c r="J32" s="4" t="s">
        <v>188</v>
      </c>
      <c r="K32" s="4" t="s">
        <v>115</v>
      </c>
      <c r="L32" s="4"/>
      <c r="M32" s="4" t="s">
        <v>34</v>
      </c>
      <c r="N32" s="4" t="s">
        <v>35</v>
      </c>
      <c r="O32" s="4" t="s">
        <v>189</v>
      </c>
      <c r="P32" s="4" t="s">
        <v>37</v>
      </c>
      <c r="Q32" s="4" t="s">
        <v>190</v>
      </c>
      <c r="R32" s="4" t="s">
        <v>39</v>
      </c>
      <c r="S32" s="4" t="s">
        <v>115</v>
      </c>
      <c r="T32" s="4"/>
      <c r="U32" s="4" t="str">
        <f t="shared" si="0"/>
        <v>Planned</v>
      </c>
      <c r="V32" s="4" t="s">
        <v>88</v>
      </c>
      <c r="W32" s="4"/>
    </row>
    <row r="33" spans="1:23" ht="30.65" customHeight="1">
      <c r="A33" s="4">
        <v>29</v>
      </c>
      <c r="B33" s="5">
        <v>46294</v>
      </c>
      <c r="C33" s="4" t="s">
        <v>25</v>
      </c>
      <c r="D33" s="4" t="s">
        <v>191</v>
      </c>
      <c r="E33" s="4" t="s">
        <v>27</v>
      </c>
      <c r="F33" s="4" t="s">
        <v>192</v>
      </c>
      <c r="G33" s="4" t="s">
        <v>29</v>
      </c>
      <c r="H33" s="4" t="s">
        <v>193</v>
      </c>
      <c r="I33" s="4" t="s">
        <v>44</v>
      </c>
      <c r="J33" s="4" t="s">
        <v>194</v>
      </c>
      <c r="K33" s="4" t="s">
        <v>115</v>
      </c>
      <c r="L33" s="4"/>
      <c r="M33" s="4" t="s">
        <v>34</v>
      </c>
      <c r="N33" s="4" t="s">
        <v>35</v>
      </c>
      <c r="O33" s="4" t="s">
        <v>195</v>
      </c>
      <c r="P33" s="4" t="s">
        <v>47</v>
      </c>
      <c r="Q33" s="4" t="s">
        <v>196</v>
      </c>
      <c r="R33" s="4" t="s">
        <v>39</v>
      </c>
      <c r="S33" s="4" t="s">
        <v>115</v>
      </c>
      <c r="T33" s="4"/>
      <c r="U33" s="4" t="str">
        <f t="shared" si="0"/>
        <v>Planned</v>
      </c>
      <c r="V33" s="4" t="s">
        <v>88</v>
      </c>
      <c r="W33" s="4"/>
    </row>
    <row r="34" spans="1:23" ht="30.65" customHeight="1">
      <c r="A34" s="4">
        <v>30</v>
      </c>
      <c r="B34" s="5">
        <v>46295</v>
      </c>
      <c r="C34" s="4" t="s">
        <v>42</v>
      </c>
      <c r="D34" s="4" t="s">
        <v>191</v>
      </c>
      <c r="E34" s="4" t="s">
        <v>68</v>
      </c>
      <c r="F34" s="4" t="s">
        <v>197</v>
      </c>
      <c r="G34" s="4" t="s">
        <v>29</v>
      </c>
      <c r="H34" s="4" t="s">
        <v>198</v>
      </c>
      <c r="I34" s="4" t="s">
        <v>31</v>
      </c>
      <c r="J34" s="4" t="s">
        <v>199</v>
      </c>
      <c r="K34" s="4" t="s">
        <v>115</v>
      </c>
      <c r="L34" s="4"/>
      <c r="M34" s="4" t="s">
        <v>34</v>
      </c>
      <c r="N34" s="4" t="s">
        <v>35</v>
      </c>
      <c r="O34" s="4" t="s">
        <v>200</v>
      </c>
      <c r="P34" s="4" t="s">
        <v>37</v>
      </c>
      <c r="Q34" s="4" t="s">
        <v>201</v>
      </c>
      <c r="R34" s="4" t="s">
        <v>39</v>
      </c>
      <c r="S34" s="4" t="s">
        <v>115</v>
      </c>
      <c r="T34" s="4"/>
      <c r="U34" s="4" t="str">
        <f t="shared" si="0"/>
        <v>Planned</v>
      </c>
      <c r="V34" s="4" t="s">
        <v>104</v>
      </c>
      <c r="W34" s="4"/>
    </row>
    <row r="35" spans="1:23" ht="30.65" customHeight="1">
      <c r="A35" s="4">
        <v>31</v>
      </c>
      <c r="B35" s="5">
        <v>46296</v>
      </c>
      <c r="C35" s="4" t="s">
        <v>50</v>
      </c>
      <c r="D35" s="4" t="s">
        <v>191</v>
      </c>
      <c r="E35" s="4" t="s">
        <v>68</v>
      </c>
      <c r="F35" s="4" t="s">
        <v>202</v>
      </c>
      <c r="G35" s="4" t="s">
        <v>29</v>
      </c>
      <c r="H35" s="4" t="s">
        <v>203</v>
      </c>
      <c r="I35" s="4" t="s">
        <v>44</v>
      </c>
      <c r="J35" s="4" t="s">
        <v>204</v>
      </c>
      <c r="K35" s="4" t="s">
        <v>115</v>
      </c>
      <c r="L35" s="4"/>
      <c r="M35" s="4" t="s">
        <v>34</v>
      </c>
      <c r="N35" s="4" t="s">
        <v>35</v>
      </c>
      <c r="O35" s="4" t="s">
        <v>205</v>
      </c>
      <c r="P35" s="4" t="s">
        <v>47</v>
      </c>
      <c r="Q35" s="4" t="s">
        <v>206</v>
      </c>
      <c r="R35" s="4" t="s">
        <v>39</v>
      </c>
      <c r="S35" s="4" t="s">
        <v>115</v>
      </c>
      <c r="T35" s="4"/>
      <c r="U35" s="4" t="str">
        <f t="shared" si="0"/>
        <v>Planned</v>
      </c>
      <c r="V35" s="4" t="s">
        <v>104</v>
      </c>
      <c r="W35" s="4"/>
    </row>
    <row r="36" spans="1:23" ht="30.65" customHeight="1">
      <c r="A36" s="4">
        <v>32</v>
      </c>
      <c r="B36" s="5">
        <v>46297</v>
      </c>
      <c r="C36" s="4" t="s">
        <v>61</v>
      </c>
      <c r="D36" s="4" t="s">
        <v>191</v>
      </c>
      <c r="E36" s="4" t="s">
        <v>62</v>
      </c>
      <c r="F36" s="4" t="s">
        <v>63</v>
      </c>
      <c r="G36" s="4" t="s">
        <v>62</v>
      </c>
      <c r="H36" s="4" t="s">
        <v>62</v>
      </c>
      <c r="I36" s="4" t="s">
        <v>62</v>
      </c>
      <c r="J36" s="4" t="s">
        <v>64</v>
      </c>
      <c r="K36" s="4" t="s">
        <v>63</v>
      </c>
      <c r="L36" s="4"/>
      <c r="M36" s="4" t="s">
        <v>62</v>
      </c>
      <c r="N36" s="4" t="s">
        <v>62</v>
      </c>
      <c r="O36" s="4" t="s">
        <v>62</v>
      </c>
      <c r="P36" s="4" t="s">
        <v>62</v>
      </c>
      <c r="Q36" s="4" t="s">
        <v>64</v>
      </c>
      <c r="R36" s="4" t="s">
        <v>62</v>
      </c>
      <c r="S36" s="4" t="s">
        <v>63</v>
      </c>
      <c r="T36" s="4"/>
      <c r="U36" s="4" t="str">
        <f t="shared" si="0"/>
        <v>Friday Off</v>
      </c>
      <c r="V36" s="4" t="s">
        <v>65</v>
      </c>
      <c r="W36" s="4" t="s">
        <v>66</v>
      </c>
    </row>
    <row r="37" spans="1:23" ht="30.65" customHeight="1">
      <c r="A37" s="4">
        <v>33</v>
      </c>
      <c r="B37" s="5">
        <v>46298</v>
      </c>
      <c r="C37" s="4" t="s">
        <v>67</v>
      </c>
      <c r="D37" s="4" t="s">
        <v>191</v>
      </c>
      <c r="E37" s="4" t="s">
        <v>111</v>
      </c>
      <c r="F37" s="4" t="s">
        <v>207</v>
      </c>
      <c r="G37" s="4" t="s">
        <v>29</v>
      </c>
      <c r="H37" s="4" t="s">
        <v>208</v>
      </c>
      <c r="I37" s="4" t="s">
        <v>31</v>
      </c>
      <c r="J37" s="4" t="s">
        <v>209</v>
      </c>
      <c r="K37" s="4" t="s">
        <v>115</v>
      </c>
      <c r="L37" s="4"/>
      <c r="M37" s="4" t="s">
        <v>34</v>
      </c>
      <c r="N37" s="4" t="s">
        <v>35</v>
      </c>
      <c r="O37" s="4" t="s">
        <v>210</v>
      </c>
      <c r="P37" s="4" t="s">
        <v>37</v>
      </c>
      <c r="Q37" s="4" t="s">
        <v>211</v>
      </c>
      <c r="R37" s="4" t="s">
        <v>39</v>
      </c>
      <c r="S37" s="4" t="s">
        <v>115</v>
      </c>
      <c r="T37" s="4"/>
      <c r="U37" s="4" t="str">
        <f t="shared" ref="U37:U61" si="1">IF(C37="Friday","Friday Off",IF(AND(K37="Published",S37="Published"),"Both Published",IF(OR(K37="Needs Reschedule",S37="Needs Reschedule"),"Needs Reschedule",IF(OR(K37="Published",S37="Published"),"Partially Published",IF(AND(K37="Scheduled",S37="Scheduled"),"Scheduled","Planned")))))</f>
        <v>Planned</v>
      </c>
      <c r="V37" s="4" t="s">
        <v>118</v>
      </c>
      <c r="W37" s="4"/>
    </row>
    <row r="38" spans="1:23" ht="30.65" customHeight="1">
      <c r="A38" s="4">
        <v>34</v>
      </c>
      <c r="B38" s="5">
        <v>46299</v>
      </c>
      <c r="C38" s="4" t="s">
        <v>74</v>
      </c>
      <c r="D38" s="4" t="s">
        <v>191</v>
      </c>
      <c r="E38" s="4" t="s">
        <v>111</v>
      </c>
      <c r="F38" s="4" t="s">
        <v>212</v>
      </c>
      <c r="G38" s="4" t="s">
        <v>29</v>
      </c>
      <c r="H38" s="4" t="s">
        <v>213</v>
      </c>
      <c r="I38" s="4" t="s">
        <v>44</v>
      </c>
      <c r="J38" s="4" t="s">
        <v>214</v>
      </c>
      <c r="K38" s="4" t="s">
        <v>115</v>
      </c>
      <c r="L38" s="4"/>
      <c r="M38" s="4" t="s">
        <v>34</v>
      </c>
      <c r="N38" s="4" t="s">
        <v>35</v>
      </c>
      <c r="O38" s="4" t="s">
        <v>215</v>
      </c>
      <c r="P38" s="4" t="s">
        <v>47</v>
      </c>
      <c r="Q38" s="4" t="s">
        <v>216</v>
      </c>
      <c r="R38" s="4" t="s">
        <v>39</v>
      </c>
      <c r="S38" s="4" t="s">
        <v>115</v>
      </c>
      <c r="T38" s="4"/>
      <c r="U38" s="4" t="str">
        <f t="shared" si="1"/>
        <v>Planned</v>
      </c>
      <c r="V38" s="4" t="s">
        <v>118</v>
      </c>
      <c r="W38" s="4"/>
    </row>
    <row r="39" spans="1:23" ht="30.65" customHeight="1">
      <c r="A39" s="4">
        <v>35</v>
      </c>
      <c r="B39" s="5">
        <v>46300</v>
      </c>
      <c r="C39" s="4" t="s">
        <v>81</v>
      </c>
      <c r="D39" s="4" t="s">
        <v>191</v>
      </c>
      <c r="E39" s="4" t="s">
        <v>27</v>
      </c>
      <c r="F39" s="4" t="s">
        <v>217</v>
      </c>
      <c r="G39" s="4" t="s">
        <v>29</v>
      </c>
      <c r="H39" s="4" t="s">
        <v>218</v>
      </c>
      <c r="I39" s="4" t="s">
        <v>93</v>
      </c>
      <c r="J39" s="4" t="s">
        <v>219</v>
      </c>
      <c r="K39" s="4" t="s">
        <v>115</v>
      </c>
      <c r="L39" s="4"/>
      <c r="M39" s="4" t="s">
        <v>34</v>
      </c>
      <c r="N39" s="4" t="s">
        <v>35</v>
      </c>
      <c r="O39" s="4" t="s">
        <v>220</v>
      </c>
      <c r="P39" s="4" t="s">
        <v>37</v>
      </c>
      <c r="Q39" s="4" t="s">
        <v>221</v>
      </c>
      <c r="R39" s="4" t="s">
        <v>39</v>
      </c>
      <c r="S39" s="4" t="s">
        <v>115</v>
      </c>
      <c r="T39" s="4"/>
      <c r="U39" s="4" t="str">
        <f t="shared" si="1"/>
        <v>Planned</v>
      </c>
      <c r="V39" s="4" t="s">
        <v>88</v>
      </c>
      <c r="W39" s="4"/>
    </row>
    <row r="40" spans="1:23" ht="30.65" customHeight="1">
      <c r="A40" s="4">
        <v>36</v>
      </c>
      <c r="B40" s="5">
        <v>46301</v>
      </c>
      <c r="C40" s="4" t="s">
        <v>25</v>
      </c>
      <c r="D40" s="4" t="s">
        <v>222</v>
      </c>
      <c r="E40" s="4" t="s">
        <v>27</v>
      </c>
      <c r="F40" s="4" t="s">
        <v>223</v>
      </c>
      <c r="G40" s="4" t="s">
        <v>29</v>
      </c>
      <c r="H40" s="4" t="s">
        <v>224</v>
      </c>
      <c r="I40" s="4" t="s">
        <v>44</v>
      </c>
      <c r="J40" s="4" t="s">
        <v>225</v>
      </c>
      <c r="K40" s="4" t="s">
        <v>115</v>
      </c>
      <c r="L40" s="4"/>
      <c r="M40" s="4" t="s">
        <v>34</v>
      </c>
      <c r="N40" s="4" t="s">
        <v>35</v>
      </c>
      <c r="O40" s="4" t="s">
        <v>226</v>
      </c>
      <c r="P40" s="4" t="s">
        <v>47</v>
      </c>
      <c r="Q40" s="4" t="s">
        <v>227</v>
      </c>
      <c r="R40" s="4" t="s">
        <v>97</v>
      </c>
      <c r="S40" s="4" t="s">
        <v>115</v>
      </c>
      <c r="T40" s="4"/>
      <c r="U40" s="4" t="str">
        <f t="shared" si="1"/>
        <v>Planned</v>
      </c>
      <c r="V40" s="4" t="s">
        <v>88</v>
      </c>
      <c r="W40" s="4"/>
    </row>
    <row r="41" spans="1:23" ht="30.65" customHeight="1">
      <c r="A41" s="4">
        <v>37</v>
      </c>
      <c r="B41" s="5">
        <v>46302</v>
      </c>
      <c r="C41" s="4" t="s">
        <v>42</v>
      </c>
      <c r="D41" s="4" t="s">
        <v>222</v>
      </c>
      <c r="E41" s="4" t="s">
        <v>68</v>
      </c>
      <c r="F41" s="4" t="s">
        <v>228</v>
      </c>
      <c r="G41" s="4" t="s">
        <v>29</v>
      </c>
      <c r="H41" s="4" t="s">
        <v>229</v>
      </c>
      <c r="I41" s="4" t="s">
        <v>31</v>
      </c>
      <c r="J41" s="4" t="s">
        <v>230</v>
      </c>
      <c r="K41" s="4" t="s">
        <v>115</v>
      </c>
      <c r="L41" s="4"/>
      <c r="M41" s="4" t="s">
        <v>34</v>
      </c>
      <c r="N41" s="4" t="s">
        <v>35</v>
      </c>
      <c r="O41" s="4" t="s">
        <v>231</v>
      </c>
      <c r="P41" s="4" t="s">
        <v>37</v>
      </c>
      <c r="Q41" s="4" t="s">
        <v>232</v>
      </c>
      <c r="R41" s="4" t="s">
        <v>39</v>
      </c>
      <c r="S41" s="4" t="s">
        <v>115</v>
      </c>
      <c r="T41" s="4"/>
      <c r="U41" s="4" t="str">
        <f t="shared" si="1"/>
        <v>Planned</v>
      </c>
      <c r="V41" s="4" t="s">
        <v>104</v>
      </c>
      <c r="W41" s="4" t="s">
        <v>233</v>
      </c>
    </row>
    <row r="42" spans="1:23" ht="30.65" customHeight="1">
      <c r="A42" s="4">
        <v>38</v>
      </c>
      <c r="B42" s="5">
        <v>46303</v>
      </c>
      <c r="C42" s="4" t="s">
        <v>50</v>
      </c>
      <c r="D42" s="4" t="s">
        <v>222</v>
      </c>
      <c r="E42" s="4" t="s">
        <v>68</v>
      </c>
      <c r="F42" s="4" t="s">
        <v>234</v>
      </c>
      <c r="G42" s="4" t="s">
        <v>29</v>
      </c>
      <c r="H42" s="4" t="s">
        <v>235</v>
      </c>
      <c r="I42" s="4" t="s">
        <v>44</v>
      </c>
      <c r="J42" s="4" t="s">
        <v>236</v>
      </c>
      <c r="K42" s="4" t="s">
        <v>115</v>
      </c>
      <c r="L42" s="4"/>
      <c r="M42" s="4" t="s">
        <v>34</v>
      </c>
      <c r="N42" s="4" t="s">
        <v>35</v>
      </c>
      <c r="O42" s="4" t="s">
        <v>237</v>
      </c>
      <c r="P42" s="4" t="s">
        <v>47</v>
      </c>
      <c r="Q42" s="4" t="s">
        <v>238</v>
      </c>
      <c r="R42" s="4" t="s">
        <v>97</v>
      </c>
      <c r="S42" s="4" t="s">
        <v>115</v>
      </c>
      <c r="T42" s="4"/>
      <c r="U42" s="4" t="str">
        <f t="shared" si="1"/>
        <v>Planned</v>
      </c>
      <c r="V42" s="4" t="s">
        <v>104</v>
      </c>
      <c r="W42" s="4" t="s">
        <v>233</v>
      </c>
    </row>
    <row r="43" spans="1:23" ht="30.65" customHeight="1">
      <c r="A43" s="4">
        <v>39</v>
      </c>
      <c r="B43" s="5">
        <v>46304</v>
      </c>
      <c r="C43" s="4" t="s">
        <v>61</v>
      </c>
      <c r="D43" s="4" t="s">
        <v>222</v>
      </c>
      <c r="E43" s="4" t="s">
        <v>62</v>
      </c>
      <c r="F43" s="4" t="s">
        <v>63</v>
      </c>
      <c r="G43" s="4" t="s">
        <v>62</v>
      </c>
      <c r="H43" s="4" t="s">
        <v>62</v>
      </c>
      <c r="I43" s="4" t="s">
        <v>62</v>
      </c>
      <c r="J43" s="4" t="s">
        <v>64</v>
      </c>
      <c r="K43" s="4" t="s">
        <v>63</v>
      </c>
      <c r="L43" s="4"/>
      <c r="M43" s="4" t="s">
        <v>62</v>
      </c>
      <c r="N43" s="4" t="s">
        <v>62</v>
      </c>
      <c r="O43" s="4" t="s">
        <v>62</v>
      </c>
      <c r="P43" s="4" t="s">
        <v>62</v>
      </c>
      <c r="Q43" s="4" t="s">
        <v>64</v>
      </c>
      <c r="R43" s="4" t="s">
        <v>62</v>
      </c>
      <c r="S43" s="4" t="s">
        <v>63</v>
      </c>
      <c r="T43" s="4"/>
      <c r="U43" s="4" t="str">
        <f t="shared" si="1"/>
        <v>Friday Off</v>
      </c>
      <c r="V43" s="4" t="s">
        <v>65</v>
      </c>
      <c r="W43" s="4" t="s">
        <v>66</v>
      </c>
    </row>
    <row r="44" spans="1:23" ht="30.65" customHeight="1">
      <c r="A44" s="4">
        <v>40</v>
      </c>
      <c r="B44" s="5">
        <v>46305</v>
      </c>
      <c r="C44" s="4" t="s">
        <v>67</v>
      </c>
      <c r="D44" s="4" t="s">
        <v>222</v>
      </c>
      <c r="E44" s="4" t="s">
        <v>111</v>
      </c>
      <c r="F44" s="4" t="s">
        <v>239</v>
      </c>
      <c r="G44" s="4" t="s">
        <v>29</v>
      </c>
      <c r="H44" s="4" t="s">
        <v>240</v>
      </c>
      <c r="I44" s="4" t="s">
        <v>31</v>
      </c>
      <c r="J44" s="4" t="s">
        <v>241</v>
      </c>
      <c r="K44" s="4" t="s">
        <v>115</v>
      </c>
      <c r="L44" s="4"/>
      <c r="M44" s="4" t="s">
        <v>34</v>
      </c>
      <c r="N44" s="4" t="s">
        <v>35</v>
      </c>
      <c r="O44" s="4" t="s">
        <v>242</v>
      </c>
      <c r="P44" s="4" t="s">
        <v>37</v>
      </c>
      <c r="Q44" s="4" t="s">
        <v>243</v>
      </c>
      <c r="R44" s="4" t="s">
        <v>39</v>
      </c>
      <c r="S44" s="4" t="s">
        <v>115</v>
      </c>
      <c r="T44" s="4"/>
      <c r="U44" s="4" t="str">
        <f t="shared" si="1"/>
        <v>Planned</v>
      </c>
      <c r="V44" s="4" t="s">
        <v>118</v>
      </c>
      <c r="W44" s="4" t="s">
        <v>233</v>
      </c>
    </row>
    <row r="45" spans="1:23" ht="30.65" customHeight="1">
      <c r="A45" s="4">
        <v>41</v>
      </c>
      <c r="B45" s="5">
        <v>46306</v>
      </c>
      <c r="C45" s="4" t="s">
        <v>74</v>
      </c>
      <c r="D45" s="4" t="s">
        <v>222</v>
      </c>
      <c r="E45" s="4" t="s">
        <v>111</v>
      </c>
      <c r="F45" s="4" t="s">
        <v>244</v>
      </c>
      <c r="G45" s="4" t="s">
        <v>29</v>
      </c>
      <c r="H45" s="4" t="s">
        <v>245</v>
      </c>
      <c r="I45" s="4" t="s">
        <v>44</v>
      </c>
      <c r="J45" s="4" t="s">
        <v>246</v>
      </c>
      <c r="K45" s="4" t="s">
        <v>115</v>
      </c>
      <c r="L45" s="4"/>
      <c r="M45" s="4" t="s">
        <v>34</v>
      </c>
      <c r="N45" s="4" t="s">
        <v>35</v>
      </c>
      <c r="O45" s="4" t="s">
        <v>247</v>
      </c>
      <c r="P45" s="4" t="s">
        <v>47</v>
      </c>
      <c r="Q45" s="4" t="s">
        <v>248</v>
      </c>
      <c r="R45" s="4" t="s">
        <v>39</v>
      </c>
      <c r="S45" s="4" t="s">
        <v>115</v>
      </c>
      <c r="T45" s="4"/>
      <c r="U45" s="4" t="str">
        <f t="shared" si="1"/>
        <v>Planned</v>
      </c>
      <c r="V45" s="4" t="s">
        <v>118</v>
      </c>
      <c r="W45" s="4" t="s">
        <v>233</v>
      </c>
    </row>
    <row r="46" spans="1:23" ht="30.65" customHeight="1">
      <c r="A46" s="4">
        <v>42</v>
      </c>
      <c r="B46" s="5">
        <v>46307</v>
      </c>
      <c r="C46" s="4" t="s">
        <v>81</v>
      </c>
      <c r="D46" s="4" t="s">
        <v>222</v>
      </c>
      <c r="E46" s="4" t="s">
        <v>27</v>
      </c>
      <c r="F46" s="4" t="s">
        <v>249</v>
      </c>
      <c r="G46" s="4" t="s">
        <v>29</v>
      </c>
      <c r="H46" s="4" t="s">
        <v>250</v>
      </c>
      <c r="I46" s="4" t="s">
        <v>31</v>
      </c>
      <c r="J46" s="4" t="s">
        <v>251</v>
      </c>
      <c r="K46" s="4" t="s">
        <v>115</v>
      </c>
      <c r="L46" s="4"/>
      <c r="M46" s="4" t="s">
        <v>34</v>
      </c>
      <c r="N46" s="4" t="s">
        <v>35</v>
      </c>
      <c r="O46" s="4" t="s">
        <v>252</v>
      </c>
      <c r="P46" s="4" t="s">
        <v>37</v>
      </c>
      <c r="Q46" s="4" t="s">
        <v>253</v>
      </c>
      <c r="R46" s="4" t="s">
        <v>39</v>
      </c>
      <c r="S46" s="4" t="s">
        <v>115</v>
      </c>
      <c r="T46" s="4"/>
      <c r="U46" s="4" t="str">
        <f t="shared" si="1"/>
        <v>Planned</v>
      </c>
      <c r="V46" s="4" t="s">
        <v>88</v>
      </c>
      <c r="W46" s="4" t="s">
        <v>233</v>
      </c>
    </row>
    <row r="47" spans="1:23" ht="30.65" customHeight="1">
      <c r="A47" s="4">
        <v>43</v>
      </c>
      <c r="B47" s="5">
        <v>46308</v>
      </c>
      <c r="C47" s="4" t="s">
        <v>25</v>
      </c>
      <c r="D47" s="4" t="s">
        <v>254</v>
      </c>
      <c r="E47" s="4" t="s">
        <v>27</v>
      </c>
      <c r="F47" s="4" t="s">
        <v>255</v>
      </c>
      <c r="G47" s="4" t="s">
        <v>29</v>
      </c>
      <c r="H47" s="4" t="s">
        <v>256</v>
      </c>
      <c r="I47" s="4" t="s">
        <v>44</v>
      </c>
      <c r="J47" s="4" t="s">
        <v>257</v>
      </c>
      <c r="K47" s="4" t="s">
        <v>115</v>
      </c>
      <c r="L47" s="4"/>
      <c r="M47" s="4" t="s">
        <v>34</v>
      </c>
      <c r="N47" s="4" t="s">
        <v>35</v>
      </c>
      <c r="O47" s="4" t="s">
        <v>258</v>
      </c>
      <c r="P47" s="4" t="s">
        <v>47</v>
      </c>
      <c r="Q47" s="4" t="s">
        <v>259</v>
      </c>
      <c r="R47" s="4" t="s">
        <v>97</v>
      </c>
      <c r="S47" s="4" t="s">
        <v>115</v>
      </c>
      <c r="T47" s="4"/>
      <c r="U47" s="4" t="str">
        <f t="shared" si="1"/>
        <v>Planned</v>
      </c>
      <c r="V47" s="4" t="s">
        <v>88</v>
      </c>
      <c r="W47" s="4" t="s">
        <v>233</v>
      </c>
    </row>
    <row r="48" spans="1:23" ht="30.65" customHeight="1">
      <c r="A48" s="4">
        <v>44</v>
      </c>
      <c r="B48" s="5">
        <v>46309</v>
      </c>
      <c r="C48" s="4" t="s">
        <v>42</v>
      </c>
      <c r="D48" s="4" t="s">
        <v>254</v>
      </c>
      <c r="E48" s="4" t="s">
        <v>68</v>
      </c>
      <c r="F48" s="4" t="s">
        <v>260</v>
      </c>
      <c r="G48" s="4" t="s">
        <v>29</v>
      </c>
      <c r="H48" s="4" t="s">
        <v>261</v>
      </c>
      <c r="I48" s="4" t="s">
        <v>31</v>
      </c>
      <c r="J48" s="4" t="s">
        <v>262</v>
      </c>
      <c r="K48" s="4" t="s">
        <v>115</v>
      </c>
      <c r="L48" s="4"/>
      <c r="M48" s="4" t="s">
        <v>34</v>
      </c>
      <c r="N48" s="4" t="s">
        <v>35</v>
      </c>
      <c r="O48" s="4" t="s">
        <v>263</v>
      </c>
      <c r="P48" s="4" t="s">
        <v>37</v>
      </c>
      <c r="Q48" s="4" t="s">
        <v>264</v>
      </c>
      <c r="R48" s="4" t="s">
        <v>39</v>
      </c>
      <c r="S48" s="4" t="s">
        <v>115</v>
      </c>
      <c r="T48" s="4"/>
      <c r="U48" s="4" t="str">
        <f t="shared" si="1"/>
        <v>Planned</v>
      </c>
      <c r="V48" s="4" t="s">
        <v>104</v>
      </c>
      <c r="W48" s="4" t="s">
        <v>233</v>
      </c>
    </row>
    <row r="49" spans="1:23" ht="30.65" customHeight="1">
      <c r="A49" s="4">
        <v>45</v>
      </c>
      <c r="B49" s="5">
        <v>46310</v>
      </c>
      <c r="C49" s="4" t="s">
        <v>50</v>
      </c>
      <c r="D49" s="4" t="s">
        <v>254</v>
      </c>
      <c r="E49" s="4" t="s">
        <v>68</v>
      </c>
      <c r="F49" s="4" t="s">
        <v>265</v>
      </c>
      <c r="G49" s="4" t="s">
        <v>29</v>
      </c>
      <c r="H49" s="4" t="s">
        <v>266</v>
      </c>
      <c r="I49" s="4" t="s">
        <v>93</v>
      </c>
      <c r="J49" s="4" t="s">
        <v>267</v>
      </c>
      <c r="K49" s="4" t="s">
        <v>115</v>
      </c>
      <c r="L49" s="4"/>
      <c r="M49" s="4" t="s">
        <v>34</v>
      </c>
      <c r="N49" s="4" t="s">
        <v>35</v>
      </c>
      <c r="O49" s="4" t="s">
        <v>268</v>
      </c>
      <c r="P49" s="4" t="s">
        <v>47</v>
      </c>
      <c r="Q49" s="4" t="s">
        <v>269</v>
      </c>
      <c r="R49" s="4" t="s">
        <v>39</v>
      </c>
      <c r="S49" s="4" t="s">
        <v>115</v>
      </c>
      <c r="T49" s="4"/>
      <c r="U49" s="4" t="str">
        <f t="shared" si="1"/>
        <v>Planned</v>
      </c>
      <c r="V49" s="4" t="s">
        <v>104</v>
      </c>
      <c r="W49" s="4" t="s">
        <v>233</v>
      </c>
    </row>
    <row r="50" spans="1:23" ht="30.65" customHeight="1">
      <c r="A50" s="4">
        <v>46</v>
      </c>
      <c r="B50" s="5">
        <v>46311</v>
      </c>
      <c r="C50" s="4" t="s">
        <v>61</v>
      </c>
      <c r="D50" s="4" t="s">
        <v>254</v>
      </c>
      <c r="E50" s="4" t="s">
        <v>62</v>
      </c>
      <c r="F50" s="4" t="s">
        <v>63</v>
      </c>
      <c r="G50" s="4" t="s">
        <v>62</v>
      </c>
      <c r="H50" s="4" t="s">
        <v>62</v>
      </c>
      <c r="I50" s="4" t="s">
        <v>62</v>
      </c>
      <c r="J50" s="4" t="s">
        <v>64</v>
      </c>
      <c r="K50" s="4" t="s">
        <v>63</v>
      </c>
      <c r="L50" s="4"/>
      <c r="M50" s="4" t="s">
        <v>62</v>
      </c>
      <c r="N50" s="4" t="s">
        <v>62</v>
      </c>
      <c r="O50" s="4" t="s">
        <v>62</v>
      </c>
      <c r="P50" s="4" t="s">
        <v>62</v>
      </c>
      <c r="Q50" s="4" t="s">
        <v>64</v>
      </c>
      <c r="R50" s="4" t="s">
        <v>62</v>
      </c>
      <c r="S50" s="4" t="s">
        <v>63</v>
      </c>
      <c r="T50" s="4"/>
      <c r="U50" s="4" t="str">
        <f t="shared" si="1"/>
        <v>Friday Off</v>
      </c>
      <c r="V50" s="4" t="s">
        <v>65</v>
      </c>
      <c r="W50" s="4" t="s">
        <v>66</v>
      </c>
    </row>
    <row r="51" spans="1:23" ht="30.65" customHeight="1">
      <c r="A51" s="4">
        <v>47</v>
      </c>
      <c r="B51" s="5">
        <v>46312</v>
      </c>
      <c r="C51" s="4" t="s">
        <v>67</v>
      </c>
      <c r="D51" s="4" t="s">
        <v>254</v>
      </c>
      <c r="E51" s="4" t="s">
        <v>111</v>
      </c>
      <c r="F51" s="4" t="s">
        <v>270</v>
      </c>
      <c r="G51" s="4" t="s">
        <v>29</v>
      </c>
      <c r="H51" s="4" t="s">
        <v>271</v>
      </c>
      <c r="I51" s="4" t="s">
        <v>31</v>
      </c>
      <c r="J51" s="4" t="s">
        <v>272</v>
      </c>
      <c r="K51" s="4" t="s">
        <v>115</v>
      </c>
      <c r="L51" s="4"/>
      <c r="M51" s="4" t="s">
        <v>34</v>
      </c>
      <c r="N51" s="4" t="s">
        <v>35</v>
      </c>
      <c r="O51" s="4" t="s">
        <v>273</v>
      </c>
      <c r="P51" s="4" t="s">
        <v>37</v>
      </c>
      <c r="Q51" s="4" t="s">
        <v>274</v>
      </c>
      <c r="R51" s="4" t="s">
        <v>39</v>
      </c>
      <c r="S51" s="4" t="s">
        <v>115</v>
      </c>
      <c r="T51" s="4"/>
      <c r="U51" s="4" t="str">
        <f t="shared" si="1"/>
        <v>Planned</v>
      </c>
      <c r="V51" s="4" t="s">
        <v>118</v>
      </c>
      <c r="W51" s="4" t="s">
        <v>233</v>
      </c>
    </row>
    <row r="52" spans="1:23" ht="30.65" customHeight="1">
      <c r="A52" s="4">
        <v>48</v>
      </c>
      <c r="B52" s="5">
        <v>46313</v>
      </c>
      <c r="C52" s="4" t="s">
        <v>74</v>
      </c>
      <c r="D52" s="4" t="s">
        <v>254</v>
      </c>
      <c r="E52" s="4" t="s">
        <v>111</v>
      </c>
      <c r="F52" s="4" t="s">
        <v>275</v>
      </c>
      <c r="G52" s="4" t="s">
        <v>29</v>
      </c>
      <c r="H52" s="4" t="s">
        <v>276</v>
      </c>
      <c r="I52" s="4" t="s">
        <v>44</v>
      </c>
      <c r="J52" s="4" t="s">
        <v>277</v>
      </c>
      <c r="K52" s="4" t="s">
        <v>115</v>
      </c>
      <c r="L52" s="4"/>
      <c r="M52" s="4" t="s">
        <v>34</v>
      </c>
      <c r="N52" s="4" t="s">
        <v>35</v>
      </c>
      <c r="O52" s="4" t="s">
        <v>278</v>
      </c>
      <c r="P52" s="4" t="s">
        <v>47</v>
      </c>
      <c r="Q52" s="4" t="s">
        <v>279</v>
      </c>
      <c r="R52" s="4" t="s">
        <v>97</v>
      </c>
      <c r="S52" s="4" t="s">
        <v>115</v>
      </c>
      <c r="T52" s="4"/>
      <c r="U52" s="4" t="str">
        <f t="shared" si="1"/>
        <v>Planned</v>
      </c>
      <c r="V52" s="4" t="s">
        <v>118</v>
      </c>
      <c r="W52" s="4" t="s">
        <v>233</v>
      </c>
    </row>
    <row r="53" spans="1:23" ht="30.65" customHeight="1">
      <c r="A53" s="4">
        <v>49</v>
      </c>
      <c r="B53" s="5">
        <v>46314</v>
      </c>
      <c r="C53" s="4" t="s">
        <v>81</v>
      </c>
      <c r="D53" s="4" t="s">
        <v>254</v>
      </c>
      <c r="E53" s="4" t="s">
        <v>27</v>
      </c>
      <c r="F53" s="4" t="s">
        <v>280</v>
      </c>
      <c r="G53" s="4" t="s">
        <v>29</v>
      </c>
      <c r="H53" s="4" t="s">
        <v>281</v>
      </c>
      <c r="I53" s="4" t="s">
        <v>31</v>
      </c>
      <c r="J53" s="4" t="s">
        <v>282</v>
      </c>
      <c r="K53" s="4" t="s">
        <v>115</v>
      </c>
      <c r="L53" s="4"/>
      <c r="M53" s="4" t="s">
        <v>34</v>
      </c>
      <c r="N53" s="4" t="s">
        <v>35</v>
      </c>
      <c r="O53" s="4" t="s">
        <v>283</v>
      </c>
      <c r="P53" s="4" t="s">
        <v>37</v>
      </c>
      <c r="Q53" s="4" t="s">
        <v>284</v>
      </c>
      <c r="R53" s="4" t="s">
        <v>39</v>
      </c>
      <c r="S53" s="4" t="s">
        <v>115</v>
      </c>
      <c r="T53" s="4"/>
      <c r="U53" s="4" t="str">
        <f t="shared" si="1"/>
        <v>Planned</v>
      </c>
      <c r="V53" s="4" t="s">
        <v>88</v>
      </c>
      <c r="W53" s="4" t="s">
        <v>233</v>
      </c>
    </row>
    <row r="54" spans="1:23" ht="30.65" customHeight="1">
      <c r="A54" s="4">
        <v>50</v>
      </c>
      <c r="B54" s="5">
        <v>46315</v>
      </c>
      <c r="C54" s="4" t="s">
        <v>25</v>
      </c>
      <c r="D54" s="4" t="s">
        <v>285</v>
      </c>
      <c r="E54" s="4" t="s">
        <v>27</v>
      </c>
      <c r="F54" s="4" t="s">
        <v>286</v>
      </c>
      <c r="G54" s="4" t="s">
        <v>29</v>
      </c>
      <c r="H54" s="4" t="s">
        <v>287</v>
      </c>
      <c r="I54" s="4" t="s">
        <v>44</v>
      </c>
      <c r="J54" s="4" t="s">
        <v>288</v>
      </c>
      <c r="K54" s="4" t="s">
        <v>115</v>
      </c>
      <c r="L54" s="4"/>
      <c r="M54" s="4" t="s">
        <v>34</v>
      </c>
      <c r="N54" s="4" t="s">
        <v>35</v>
      </c>
      <c r="O54" s="4" t="s">
        <v>289</v>
      </c>
      <c r="P54" s="4" t="s">
        <v>47</v>
      </c>
      <c r="Q54" s="4" t="s">
        <v>290</v>
      </c>
      <c r="R54" s="4" t="s">
        <v>39</v>
      </c>
      <c r="S54" s="4" t="s">
        <v>115</v>
      </c>
      <c r="T54" s="4"/>
      <c r="U54" s="4" t="str">
        <f t="shared" si="1"/>
        <v>Planned</v>
      </c>
      <c r="V54" s="4" t="s">
        <v>88</v>
      </c>
      <c r="W54" s="4" t="s">
        <v>233</v>
      </c>
    </row>
    <row r="55" spans="1:23" ht="30.65" customHeight="1">
      <c r="A55" s="4">
        <v>51</v>
      </c>
      <c r="B55" s="5">
        <v>46316</v>
      </c>
      <c r="C55" s="4" t="s">
        <v>42</v>
      </c>
      <c r="D55" s="4" t="s">
        <v>285</v>
      </c>
      <c r="E55" s="4" t="s">
        <v>68</v>
      </c>
      <c r="F55" s="4" t="s">
        <v>291</v>
      </c>
      <c r="G55" s="4" t="s">
        <v>29</v>
      </c>
      <c r="H55" s="4" t="s">
        <v>292</v>
      </c>
      <c r="I55" s="4" t="s">
        <v>31</v>
      </c>
      <c r="J55" s="4" t="s">
        <v>293</v>
      </c>
      <c r="K55" s="4" t="s">
        <v>115</v>
      </c>
      <c r="L55" s="4"/>
      <c r="M55" s="4" t="s">
        <v>34</v>
      </c>
      <c r="N55" s="4" t="s">
        <v>35</v>
      </c>
      <c r="O55" s="4" t="s">
        <v>294</v>
      </c>
      <c r="P55" s="4" t="s">
        <v>37</v>
      </c>
      <c r="Q55" s="4" t="s">
        <v>295</v>
      </c>
      <c r="R55" s="4" t="s">
        <v>39</v>
      </c>
      <c r="S55" s="4" t="s">
        <v>115</v>
      </c>
      <c r="T55" s="4"/>
      <c r="U55" s="4" t="str">
        <f t="shared" si="1"/>
        <v>Planned</v>
      </c>
      <c r="V55" s="4" t="s">
        <v>104</v>
      </c>
      <c r="W55" s="4" t="s">
        <v>233</v>
      </c>
    </row>
    <row r="56" spans="1:23" ht="30.65" customHeight="1">
      <c r="A56" s="4">
        <v>52</v>
      </c>
      <c r="B56" s="5">
        <v>46317</v>
      </c>
      <c r="C56" s="4" t="s">
        <v>50</v>
      </c>
      <c r="D56" s="4" t="s">
        <v>285</v>
      </c>
      <c r="E56" s="4" t="s">
        <v>68</v>
      </c>
      <c r="F56" s="4" t="s">
        <v>296</v>
      </c>
      <c r="G56" s="4" t="s">
        <v>29</v>
      </c>
      <c r="H56" s="4" t="s">
        <v>297</v>
      </c>
      <c r="I56" s="4" t="s">
        <v>44</v>
      </c>
      <c r="J56" s="4" t="s">
        <v>298</v>
      </c>
      <c r="K56" s="4" t="s">
        <v>115</v>
      </c>
      <c r="L56" s="4"/>
      <c r="M56" s="4" t="s">
        <v>34</v>
      </c>
      <c r="N56" s="4" t="s">
        <v>35</v>
      </c>
      <c r="O56" s="4" t="s">
        <v>299</v>
      </c>
      <c r="P56" s="4" t="s">
        <v>47</v>
      </c>
      <c r="Q56" s="4" t="s">
        <v>300</v>
      </c>
      <c r="R56" s="4" t="s">
        <v>97</v>
      </c>
      <c r="S56" s="4" t="s">
        <v>115</v>
      </c>
      <c r="T56" s="4"/>
      <c r="U56" s="4" t="str">
        <f t="shared" si="1"/>
        <v>Planned</v>
      </c>
      <c r="V56" s="4" t="s">
        <v>104</v>
      </c>
      <c r="W56" s="4" t="s">
        <v>233</v>
      </c>
    </row>
    <row r="57" spans="1:23" ht="30.65" customHeight="1">
      <c r="A57" s="4">
        <v>53</v>
      </c>
      <c r="B57" s="5">
        <v>46318</v>
      </c>
      <c r="C57" s="4" t="s">
        <v>61</v>
      </c>
      <c r="D57" s="4" t="s">
        <v>285</v>
      </c>
      <c r="E57" s="4" t="s">
        <v>62</v>
      </c>
      <c r="F57" s="4" t="s">
        <v>63</v>
      </c>
      <c r="G57" s="4" t="s">
        <v>62</v>
      </c>
      <c r="H57" s="4" t="s">
        <v>62</v>
      </c>
      <c r="I57" s="4" t="s">
        <v>62</v>
      </c>
      <c r="J57" s="4" t="s">
        <v>64</v>
      </c>
      <c r="K57" s="4" t="s">
        <v>63</v>
      </c>
      <c r="L57" s="4"/>
      <c r="M57" s="4" t="s">
        <v>62</v>
      </c>
      <c r="N57" s="4" t="s">
        <v>62</v>
      </c>
      <c r="O57" s="4" t="s">
        <v>62</v>
      </c>
      <c r="P57" s="4" t="s">
        <v>62</v>
      </c>
      <c r="Q57" s="4" t="s">
        <v>64</v>
      </c>
      <c r="R57" s="4" t="s">
        <v>62</v>
      </c>
      <c r="S57" s="4" t="s">
        <v>63</v>
      </c>
      <c r="T57" s="4"/>
      <c r="U57" s="4" t="str">
        <f t="shared" si="1"/>
        <v>Friday Off</v>
      </c>
      <c r="V57" s="4" t="s">
        <v>65</v>
      </c>
      <c r="W57" s="4" t="s">
        <v>66</v>
      </c>
    </row>
    <row r="58" spans="1:23" ht="30.65" customHeight="1">
      <c r="A58" s="4">
        <v>54</v>
      </c>
      <c r="B58" s="5">
        <v>46319</v>
      </c>
      <c r="C58" s="4" t="s">
        <v>67</v>
      </c>
      <c r="D58" s="4" t="s">
        <v>285</v>
      </c>
      <c r="E58" s="4" t="s">
        <v>111</v>
      </c>
      <c r="F58" s="4" t="s">
        <v>301</v>
      </c>
      <c r="G58" s="4" t="s">
        <v>29</v>
      </c>
      <c r="H58" s="4" t="s">
        <v>302</v>
      </c>
      <c r="I58" s="4" t="s">
        <v>31</v>
      </c>
      <c r="J58" s="4" t="s">
        <v>303</v>
      </c>
      <c r="K58" s="4" t="s">
        <v>115</v>
      </c>
      <c r="L58" s="4"/>
      <c r="M58" s="4" t="s">
        <v>34</v>
      </c>
      <c r="N58" s="4" t="s">
        <v>35</v>
      </c>
      <c r="O58" s="4" t="s">
        <v>304</v>
      </c>
      <c r="P58" s="4" t="s">
        <v>37</v>
      </c>
      <c r="Q58" s="4" t="s">
        <v>305</v>
      </c>
      <c r="R58" s="4" t="s">
        <v>39</v>
      </c>
      <c r="S58" s="4" t="s">
        <v>115</v>
      </c>
      <c r="T58" s="4"/>
      <c r="U58" s="4" t="str">
        <f t="shared" si="1"/>
        <v>Planned</v>
      </c>
      <c r="V58" s="4" t="s">
        <v>118</v>
      </c>
      <c r="W58" s="4" t="s">
        <v>233</v>
      </c>
    </row>
    <row r="59" spans="1:23" ht="30.65" customHeight="1">
      <c r="A59" s="4">
        <v>55</v>
      </c>
      <c r="B59" s="5">
        <v>46320</v>
      </c>
      <c r="C59" s="4" t="s">
        <v>74</v>
      </c>
      <c r="D59" s="4" t="s">
        <v>285</v>
      </c>
      <c r="E59" s="4" t="s">
        <v>111</v>
      </c>
      <c r="F59" s="4" t="s">
        <v>306</v>
      </c>
      <c r="G59" s="4" t="s">
        <v>29</v>
      </c>
      <c r="H59" s="4" t="s">
        <v>307</v>
      </c>
      <c r="I59" s="4" t="s">
        <v>308</v>
      </c>
      <c r="J59" s="4" t="s">
        <v>309</v>
      </c>
      <c r="K59" s="4" t="s">
        <v>115</v>
      </c>
      <c r="L59" s="4"/>
      <c r="M59" s="4" t="s">
        <v>34</v>
      </c>
      <c r="N59" s="4" t="s">
        <v>35</v>
      </c>
      <c r="O59" s="4" t="s">
        <v>310</v>
      </c>
      <c r="P59" s="4" t="s">
        <v>47</v>
      </c>
      <c r="Q59" s="4" t="s">
        <v>311</v>
      </c>
      <c r="R59" s="4" t="s">
        <v>39</v>
      </c>
      <c r="S59" s="4" t="s">
        <v>115</v>
      </c>
      <c r="T59" s="4"/>
      <c r="U59" s="4" t="str">
        <f t="shared" si="1"/>
        <v>Planned</v>
      </c>
      <c r="V59" s="4" t="s">
        <v>118</v>
      </c>
      <c r="W59" s="4" t="s">
        <v>233</v>
      </c>
    </row>
    <row r="60" spans="1:23" ht="30.65" customHeight="1">
      <c r="A60" s="4">
        <v>56</v>
      </c>
      <c r="B60" s="5">
        <v>46321</v>
      </c>
      <c r="C60" s="4" t="s">
        <v>81</v>
      </c>
      <c r="D60" s="4" t="s">
        <v>285</v>
      </c>
      <c r="E60" s="4" t="s">
        <v>27</v>
      </c>
      <c r="F60" s="4" t="s">
        <v>312</v>
      </c>
      <c r="G60" s="4" t="s">
        <v>29</v>
      </c>
      <c r="H60" s="4" t="s">
        <v>313</v>
      </c>
      <c r="I60" s="4" t="s">
        <v>31</v>
      </c>
      <c r="J60" s="4" t="s">
        <v>314</v>
      </c>
      <c r="K60" s="4" t="s">
        <v>115</v>
      </c>
      <c r="L60" s="4"/>
      <c r="M60" s="4" t="s">
        <v>34</v>
      </c>
      <c r="N60" s="4" t="s">
        <v>35</v>
      </c>
      <c r="O60" s="4" t="s">
        <v>315</v>
      </c>
      <c r="P60" s="4" t="s">
        <v>37</v>
      </c>
      <c r="Q60" s="4" t="s">
        <v>316</v>
      </c>
      <c r="R60" s="4" t="s">
        <v>39</v>
      </c>
      <c r="S60" s="4" t="s">
        <v>115</v>
      </c>
      <c r="T60" s="4"/>
      <c r="U60" s="4" t="str">
        <f t="shared" si="1"/>
        <v>Planned</v>
      </c>
      <c r="V60" s="4" t="s">
        <v>88</v>
      </c>
      <c r="W60" s="4" t="s">
        <v>233</v>
      </c>
    </row>
    <row r="61" spans="1:23" ht="30.65" customHeight="1">
      <c r="A61" s="4">
        <v>57</v>
      </c>
      <c r="B61" s="5">
        <v>46322</v>
      </c>
      <c r="C61" s="4" t="s">
        <v>25</v>
      </c>
      <c r="D61" s="4" t="s">
        <v>317</v>
      </c>
      <c r="E61" s="4" t="s">
        <v>27</v>
      </c>
      <c r="F61" s="4" t="s">
        <v>318</v>
      </c>
      <c r="G61" s="4" t="s">
        <v>29</v>
      </c>
      <c r="H61" s="4" t="s">
        <v>319</v>
      </c>
      <c r="I61" s="4" t="s">
        <v>308</v>
      </c>
      <c r="J61" s="4" t="s">
        <v>320</v>
      </c>
      <c r="K61" s="4" t="s">
        <v>115</v>
      </c>
      <c r="L61" s="4"/>
      <c r="M61" s="4" t="s">
        <v>34</v>
      </c>
      <c r="N61" s="4" t="s">
        <v>35</v>
      </c>
      <c r="O61" s="4" t="s">
        <v>321</v>
      </c>
      <c r="P61" s="4" t="s">
        <v>47</v>
      </c>
      <c r="Q61" s="4" t="s">
        <v>322</v>
      </c>
      <c r="R61" s="4" t="s">
        <v>97</v>
      </c>
      <c r="S61" s="4" t="s">
        <v>115</v>
      </c>
      <c r="T61" s="4"/>
      <c r="U61" s="4" t="str">
        <f t="shared" si="1"/>
        <v>Planned</v>
      </c>
      <c r="V61" s="4" t="s">
        <v>88</v>
      </c>
      <c r="W61" s="4" t="s">
        <v>233</v>
      </c>
    </row>
  </sheetData>
  <mergeCells count="2">
    <mergeCell ref="A1:W1"/>
    <mergeCell ref="A2:W2"/>
  </mergeCells>
  <conditionalFormatting sqref="A5:W61">
    <cfRule type="expression" dxfId="28" priority="29">
      <formula>$C5="Friday"</formula>
    </cfRule>
  </conditionalFormatting>
  <conditionalFormatting sqref="E5:E61">
    <cfRule type="expression" dxfId="27" priority="25">
      <formula>LEFT(E5,4)="E4BL"</formula>
    </cfRule>
    <cfRule type="expression" dxfId="26" priority="26">
      <formula>LEFT(E5,5)="A2PHC"</formula>
    </cfRule>
    <cfRule type="expression" dxfId="25" priority="27">
      <formula>E5="Climate Action"</formula>
    </cfRule>
    <cfRule type="expression" dxfId="24" priority="28">
      <formula>LEFT(E5,5)="Mixed"</formula>
    </cfRule>
  </conditionalFormatting>
  <conditionalFormatting sqref="K5:K61">
    <cfRule type="expression" dxfId="23" priority="1">
      <formula>K5="Published"</formula>
    </cfRule>
    <cfRule type="expression" dxfId="22" priority="2">
      <formula>K5="Both Published"</formula>
    </cfRule>
    <cfRule type="expression" dxfId="21" priority="3">
      <formula>K5="Scheduled"</formula>
    </cfRule>
    <cfRule type="expression" dxfId="20" priority="4">
      <formula>K5="Needs Reschedule"</formula>
    </cfRule>
    <cfRule type="expression" dxfId="19" priority="5">
      <formula>K5="Planned"</formula>
    </cfRule>
    <cfRule type="expression" dxfId="18" priority="6">
      <formula>K5="Friday Off"</formula>
    </cfRule>
    <cfRule type="expression" dxfId="17" priority="7">
      <formula>K5="Cancelled"</formula>
    </cfRule>
    <cfRule type="expression" dxfId="16" priority="8">
      <formula>K5="Skipped"</formula>
    </cfRule>
  </conditionalFormatting>
  <conditionalFormatting sqref="S5:S61">
    <cfRule type="expression" dxfId="15" priority="9">
      <formula>S5="Published"</formula>
    </cfRule>
    <cfRule type="expression" dxfId="14" priority="10">
      <formula>S5="Both Published"</formula>
    </cfRule>
    <cfRule type="expression" dxfId="13" priority="11">
      <formula>S5="Scheduled"</formula>
    </cfRule>
    <cfRule type="expression" dxfId="12" priority="12">
      <formula>S5="Needs Reschedule"</formula>
    </cfRule>
    <cfRule type="expression" dxfId="11" priority="13">
      <formula>S5="Planned"</formula>
    </cfRule>
    <cfRule type="expression" dxfId="10" priority="14">
      <formula>S5="Friday Off"</formula>
    </cfRule>
    <cfRule type="expression" dxfId="9" priority="15">
      <formula>S5="Cancelled"</formula>
    </cfRule>
    <cfRule type="expression" dxfId="8" priority="16">
      <formula>S5="Skipped"</formula>
    </cfRule>
  </conditionalFormatting>
  <conditionalFormatting sqref="U5:U61">
    <cfRule type="expression" dxfId="7" priority="17">
      <formula>U5="Published"</formula>
    </cfRule>
    <cfRule type="expression" dxfId="6" priority="18">
      <formula>U5="Both Published"</formula>
    </cfRule>
    <cfRule type="expression" dxfId="5" priority="19">
      <formula>U5="Scheduled"</formula>
    </cfRule>
    <cfRule type="expression" dxfId="4" priority="20">
      <formula>U5="Needs Reschedule"</formula>
    </cfRule>
    <cfRule type="expression" dxfId="3" priority="21">
      <formula>U5="Planned"</formula>
    </cfRule>
    <cfRule type="expression" dxfId="2" priority="22">
      <formula>U5="Friday Off"</formula>
    </cfRule>
    <cfRule type="expression" dxfId="1" priority="23">
      <formula>U5="Cancelled"</formula>
    </cfRule>
    <cfRule type="expression" dxfId="0" priority="24">
      <formula>U5="Skipped"</formula>
    </cfRule>
  </conditionalFormatting>
  <dataValidations count="1">
    <dataValidation type="list" sqref="K5:K61 S5:S61" xr:uid="{00000000-0002-0000-0000-000000000000}">
      <formula1>"Planned,Drafted,Ready,Scheduled,Needs Reschedule,Published,Skipped,Cancelled,Friday Off"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/>
  </sheetViews>
  <sheetFormatPr defaultRowHeight="14"/>
  <cols>
    <col min="1" max="1" width="9" customWidth="1"/>
    <col min="2" max="2" width="23" customWidth="1"/>
    <col min="3" max="4" width="20" customWidth="1"/>
    <col min="5" max="5" width="15" customWidth="1"/>
    <col min="6" max="6" width="37" customWidth="1"/>
    <col min="7" max="7" width="31" customWidth="1"/>
  </cols>
  <sheetData>
    <row r="1" spans="1:7" ht="18.649999999999999" customHeight="1">
      <c r="A1" s="13" t="s">
        <v>323</v>
      </c>
      <c r="B1" s="13"/>
      <c r="C1" s="13"/>
      <c r="D1" s="13"/>
      <c r="E1" s="13"/>
      <c r="F1" s="13"/>
      <c r="G1" s="13"/>
    </row>
    <row r="2" spans="1:7" ht="21.4" customHeight="1">
      <c r="A2" s="14" t="s">
        <v>324</v>
      </c>
      <c r="B2" s="14"/>
      <c r="C2" s="14"/>
      <c r="D2" s="14"/>
      <c r="E2" s="14"/>
      <c r="F2" s="14"/>
      <c r="G2" s="14"/>
    </row>
    <row r="4" spans="1:7" ht="22.65" customHeight="1">
      <c r="A4" s="1" t="s">
        <v>4</v>
      </c>
      <c r="B4" s="1" t="s">
        <v>325</v>
      </c>
      <c r="C4" s="1" t="s">
        <v>326</v>
      </c>
      <c r="D4" s="1" t="s">
        <v>15</v>
      </c>
      <c r="E4" s="1" t="s">
        <v>327</v>
      </c>
      <c r="F4" s="1" t="s">
        <v>328</v>
      </c>
      <c r="G4" s="1" t="s">
        <v>329</v>
      </c>
    </row>
    <row r="5" spans="1:7" ht="22.65" customHeight="1">
      <c r="A5" s="3" t="s">
        <v>81</v>
      </c>
      <c r="B5" s="3" t="s">
        <v>27</v>
      </c>
      <c r="C5" s="3" t="s">
        <v>330</v>
      </c>
      <c r="D5" s="3" t="s">
        <v>331</v>
      </c>
      <c r="E5" s="3" t="s">
        <v>37</v>
      </c>
      <c r="F5" s="3" t="s">
        <v>332</v>
      </c>
      <c r="G5" s="3" t="s">
        <v>333</v>
      </c>
    </row>
    <row r="6" spans="1:7" ht="22.65" customHeight="1">
      <c r="A6" s="3" t="s">
        <v>25</v>
      </c>
      <c r="B6" s="3" t="s">
        <v>27</v>
      </c>
      <c r="C6" s="3" t="s">
        <v>330</v>
      </c>
      <c r="D6" s="3" t="s">
        <v>331</v>
      </c>
      <c r="E6" s="3" t="s">
        <v>47</v>
      </c>
      <c r="F6" s="3" t="s">
        <v>334</v>
      </c>
      <c r="G6" s="3" t="s">
        <v>335</v>
      </c>
    </row>
    <row r="7" spans="1:7" ht="22.65" customHeight="1">
      <c r="A7" s="3" t="s">
        <v>42</v>
      </c>
      <c r="B7" s="3" t="s">
        <v>68</v>
      </c>
      <c r="C7" s="3" t="s">
        <v>330</v>
      </c>
      <c r="D7" s="3" t="s">
        <v>331</v>
      </c>
      <c r="E7" s="3" t="s">
        <v>37</v>
      </c>
      <c r="F7" s="3" t="s">
        <v>332</v>
      </c>
      <c r="G7" s="3" t="s">
        <v>336</v>
      </c>
    </row>
    <row r="8" spans="1:7" ht="22.65" customHeight="1">
      <c r="A8" s="3" t="s">
        <v>50</v>
      </c>
      <c r="B8" s="3" t="s">
        <v>68</v>
      </c>
      <c r="C8" s="3" t="s">
        <v>330</v>
      </c>
      <c r="D8" s="3" t="s">
        <v>331</v>
      </c>
      <c r="E8" s="3" t="s">
        <v>47</v>
      </c>
      <c r="F8" s="3" t="s">
        <v>334</v>
      </c>
      <c r="G8" s="3" t="s">
        <v>337</v>
      </c>
    </row>
    <row r="9" spans="1:7" ht="22.65" customHeight="1">
      <c r="A9" s="6" t="s">
        <v>61</v>
      </c>
      <c r="B9" s="6" t="s">
        <v>62</v>
      </c>
      <c r="C9" s="6" t="s">
        <v>338</v>
      </c>
      <c r="D9" s="6" t="s">
        <v>338</v>
      </c>
      <c r="E9" s="6" t="s">
        <v>62</v>
      </c>
      <c r="F9" s="6" t="s">
        <v>339</v>
      </c>
      <c r="G9" s="6" t="s">
        <v>340</v>
      </c>
    </row>
    <row r="10" spans="1:7" ht="22.65" customHeight="1">
      <c r="A10" s="3" t="s">
        <v>67</v>
      </c>
      <c r="B10" s="3" t="s">
        <v>111</v>
      </c>
      <c r="C10" s="3" t="s">
        <v>330</v>
      </c>
      <c r="D10" s="3" t="s">
        <v>331</v>
      </c>
      <c r="E10" s="3" t="s">
        <v>37</v>
      </c>
      <c r="F10" s="3" t="s">
        <v>332</v>
      </c>
      <c r="G10" s="3" t="s">
        <v>341</v>
      </c>
    </row>
    <row r="11" spans="1:7" ht="22.65" customHeight="1">
      <c r="A11" s="3" t="s">
        <v>74</v>
      </c>
      <c r="B11" s="3" t="s">
        <v>111</v>
      </c>
      <c r="C11" s="3" t="s">
        <v>330</v>
      </c>
      <c r="D11" s="3" t="s">
        <v>331</v>
      </c>
      <c r="E11" s="3" t="s">
        <v>47</v>
      </c>
      <c r="F11" s="3" t="s">
        <v>334</v>
      </c>
      <c r="G11" s="3" t="s">
        <v>342</v>
      </c>
    </row>
    <row r="12" spans="1:7" ht="22.65" customHeight="1"/>
    <row r="13" spans="1:7" ht="22.65" customHeight="1">
      <c r="A13" s="15" t="s">
        <v>343</v>
      </c>
      <c r="B13" s="15"/>
      <c r="C13" s="15"/>
      <c r="D13" s="15"/>
      <c r="E13" s="15"/>
      <c r="F13" s="15"/>
      <c r="G13" s="15"/>
    </row>
    <row r="14" spans="1:7" ht="22.65" customHeight="1">
      <c r="A14" s="7" t="s">
        <v>344</v>
      </c>
      <c r="B14" s="16" t="s">
        <v>345</v>
      </c>
      <c r="C14" s="17"/>
      <c r="D14" s="17"/>
      <c r="E14" s="17"/>
      <c r="F14" s="17"/>
      <c r="G14" s="17"/>
    </row>
    <row r="15" spans="1:7" ht="22.65" customHeight="1">
      <c r="A15" s="7" t="s">
        <v>346</v>
      </c>
      <c r="B15" s="16" t="s">
        <v>347</v>
      </c>
      <c r="C15" s="17"/>
      <c r="D15" s="17"/>
      <c r="E15" s="17"/>
      <c r="F15" s="17"/>
      <c r="G15" s="17"/>
    </row>
    <row r="16" spans="1:7" ht="22.65" customHeight="1">
      <c r="A16" s="7" t="s">
        <v>348</v>
      </c>
      <c r="B16" s="16" t="s">
        <v>349</v>
      </c>
      <c r="C16" s="17"/>
      <c r="D16" s="17"/>
      <c r="E16" s="17"/>
      <c r="F16" s="17"/>
      <c r="G16" s="17"/>
    </row>
    <row r="17" spans="1:7" ht="22.65" customHeight="1">
      <c r="A17" s="7" t="s">
        <v>350</v>
      </c>
      <c r="B17" s="16" t="s">
        <v>351</v>
      </c>
      <c r="C17" s="17"/>
      <c r="D17" s="17"/>
      <c r="E17" s="17"/>
      <c r="F17" s="17"/>
      <c r="G17" s="17"/>
    </row>
    <row r="18" spans="1:7" ht="22.65" customHeight="1">
      <c r="A18" s="7" t="s">
        <v>352</v>
      </c>
      <c r="B18" s="16" t="s">
        <v>353</v>
      </c>
      <c r="C18" s="17"/>
      <c r="D18" s="17"/>
      <c r="E18" s="17"/>
      <c r="F18" s="17"/>
      <c r="G18" s="17"/>
    </row>
    <row r="19" spans="1:7" ht="22.65" customHeight="1">
      <c r="A19" s="7" t="s">
        <v>354</v>
      </c>
      <c r="B19" s="16" t="s">
        <v>355</v>
      </c>
      <c r="C19" s="17"/>
      <c r="D19" s="17"/>
      <c r="E19" s="17"/>
      <c r="F19" s="17"/>
      <c r="G19" s="17"/>
    </row>
    <row r="20" spans="1:7" ht="22.65" customHeight="1">
      <c r="A20" s="7" t="s">
        <v>356</v>
      </c>
      <c r="B20" s="16" t="s">
        <v>357</v>
      </c>
      <c r="C20" s="17"/>
      <c r="D20" s="17"/>
      <c r="E20" s="17"/>
      <c r="F20" s="17"/>
      <c r="G20" s="17"/>
    </row>
  </sheetData>
  <mergeCells count="10">
    <mergeCell ref="B16:G16"/>
    <mergeCell ref="B17:G17"/>
    <mergeCell ref="B18:G18"/>
    <mergeCell ref="B19:G19"/>
    <mergeCell ref="B20:G20"/>
    <mergeCell ref="A1:G1"/>
    <mergeCell ref="A2:G2"/>
    <mergeCell ref="A13:G13"/>
    <mergeCell ref="B14:G14"/>
    <mergeCell ref="B15:G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workbookViewId="0"/>
  </sheetViews>
  <sheetFormatPr defaultRowHeight="14"/>
  <cols>
    <col min="1" max="1" width="16" customWidth="1"/>
    <col min="2" max="2" width="14" customWidth="1"/>
    <col min="3" max="3" width="5" customWidth="1"/>
    <col min="4" max="4" width="23" customWidth="1"/>
    <col min="5" max="5" width="14" customWidth="1"/>
    <col min="6" max="6" width="15" customWidth="1"/>
    <col min="7" max="7" width="5" customWidth="1"/>
    <col min="8" max="8" width="20" customWidth="1"/>
    <col min="9" max="9" width="14" customWidth="1"/>
    <col min="10" max="10" width="16" customWidth="1"/>
  </cols>
  <sheetData>
    <row r="1" spans="1:10" ht="20" customHeight="1">
      <c r="A1" s="18" t="s">
        <v>358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22.65" customHeight="1">
      <c r="A2" s="14" t="s">
        <v>359</v>
      </c>
      <c r="B2" s="14"/>
      <c r="C2" s="14"/>
      <c r="D2" s="14"/>
      <c r="E2" s="14"/>
      <c r="F2" s="14"/>
      <c r="G2" s="14"/>
      <c r="H2" s="14"/>
      <c r="I2" s="14"/>
      <c r="J2" s="14"/>
    </row>
    <row r="4" spans="1:10">
      <c r="A4" s="19" t="s">
        <v>360</v>
      </c>
      <c r="B4" s="19"/>
      <c r="D4" s="21" t="s">
        <v>361</v>
      </c>
      <c r="E4" s="21"/>
      <c r="G4" s="22" t="s">
        <v>362</v>
      </c>
      <c r="H4" s="22"/>
      <c r="I4" s="24" t="s">
        <v>363</v>
      </c>
      <c r="J4" s="24"/>
    </row>
    <row r="5" spans="1:10">
      <c r="A5" s="20">
        <f>COUNTIF(Schedule!$N$5:$N$61,"Core")</f>
        <v>48</v>
      </c>
      <c r="B5" s="20"/>
      <c r="D5" s="20">
        <f>COUNTIFS(Schedule!$N$5:$N$61,"Core",Schedule!$S$5:$S$61,"Published")</f>
        <v>4</v>
      </c>
      <c r="E5" s="20"/>
      <c r="G5" s="23">
        <f>COUNTIFS(Schedule!$N$5:$N$61,"Core",Schedule!$S$5:$S$61,"Published")/COUNTIF(Schedule!$N$5:$N$61,"Core")</f>
        <v>8.3333333333333329E-2</v>
      </c>
      <c r="H5" s="23"/>
      <c r="I5" s="20">
        <f>COUNTIF(Schedule!$K$5:$K$61,"Published")+COUNTIF(Schedule!$S$5:$S$61,"Published")</f>
        <v>10</v>
      </c>
      <c r="J5" s="20"/>
    </row>
    <row r="6" spans="1:10">
      <c r="A6" s="20"/>
      <c r="B6" s="20"/>
      <c r="D6" s="20"/>
      <c r="E6" s="20"/>
      <c r="G6" s="23"/>
      <c r="H6" s="23"/>
      <c r="I6" s="20"/>
      <c r="J6" s="20"/>
    </row>
    <row r="8" spans="1:10">
      <c r="A8" s="19" t="s">
        <v>364</v>
      </c>
      <c r="B8" s="19"/>
      <c r="D8" s="25" t="s">
        <v>365</v>
      </c>
      <c r="E8" s="25"/>
      <c r="G8" s="26" t="s">
        <v>366</v>
      </c>
      <c r="H8" s="26"/>
      <c r="I8" s="27" t="s">
        <v>63</v>
      </c>
      <c r="J8" s="27"/>
    </row>
    <row r="9" spans="1:10">
      <c r="A9" s="20">
        <f>COUNTIFS(Schedule!$N$5:$N$61,"Core",Schedule!$S$5:$S$61,"Scheduled")</f>
        <v>4</v>
      </c>
      <c r="B9" s="20"/>
      <c r="D9" s="20">
        <f>COUNTIFS(Schedule!$N$5:$N$61,"Core",Schedule!$S$5:$S$61,"Planned")</f>
        <v>40</v>
      </c>
      <c r="E9" s="20"/>
      <c r="G9" s="20">
        <f>COUNTIF(Schedule!$K$5:$K$61,"Published")</f>
        <v>5</v>
      </c>
      <c r="H9" s="20"/>
      <c r="I9" s="20">
        <f>COUNTIF(Schedule!$U$5:$U$61,"Friday Off")</f>
        <v>8</v>
      </c>
      <c r="J9" s="20"/>
    </row>
    <row r="10" spans="1:10">
      <c r="A10" s="20"/>
      <c r="B10" s="20"/>
      <c r="D10" s="20"/>
      <c r="E10" s="20"/>
      <c r="G10" s="20"/>
      <c r="H10" s="20"/>
      <c r="I10" s="20"/>
      <c r="J10" s="20"/>
    </row>
    <row r="12" spans="1:10">
      <c r="A12" s="28" t="s">
        <v>367</v>
      </c>
      <c r="B12" s="28"/>
      <c r="C12" s="28"/>
      <c r="D12" s="29" t="s">
        <v>368</v>
      </c>
      <c r="E12" s="29"/>
      <c r="F12" s="29"/>
      <c r="G12" s="29"/>
      <c r="H12" s="15" t="s">
        <v>369</v>
      </c>
      <c r="I12" s="15"/>
      <c r="J12" s="15"/>
    </row>
    <row r="13" spans="1:10">
      <c r="A13" s="8" t="s">
        <v>370</v>
      </c>
      <c r="B13" s="8" t="s">
        <v>371</v>
      </c>
      <c r="D13" s="9" t="s">
        <v>325</v>
      </c>
      <c r="E13" s="9" t="s">
        <v>372</v>
      </c>
      <c r="F13" s="9" t="s">
        <v>361</v>
      </c>
      <c r="H13" s="10" t="s">
        <v>373</v>
      </c>
      <c r="I13" s="10" t="s">
        <v>371</v>
      </c>
    </row>
    <row r="14" spans="1:10">
      <c r="A14" t="s">
        <v>33</v>
      </c>
      <c r="B14">
        <f>COUNTIFS(Schedule!$N$5:$N$61,"Core",Schedule!$S$5:$S$61,A14)</f>
        <v>4</v>
      </c>
      <c r="D14" t="s">
        <v>27</v>
      </c>
      <c r="E14">
        <f>COUNTIFS(Schedule!$E$5:$E$61,D14,Schedule!$N$5:$N$61,"Core")</f>
        <v>18</v>
      </c>
      <c r="F14">
        <f>COUNTIFS(Schedule!$E$5:$E$61,D14,Schedule!$N$5:$N$61,"Core",Schedule!$S$5:$S$61,"Published")</f>
        <v>2</v>
      </c>
      <c r="H14" t="s">
        <v>101</v>
      </c>
      <c r="I14">
        <f>COUNTIF(Schedule!$K$5:$K$61,"Needs Reschedule")</f>
        <v>2</v>
      </c>
    </row>
    <row r="15" spans="1:10">
      <c r="A15" t="s">
        <v>85</v>
      </c>
      <c r="B15">
        <f>COUNTIFS(Schedule!$N$5:$N$61,"Core",Schedule!$S$5:$S$61,A15)</f>
        <v>4</v>
      </c>
      <c r="D15" t="s">
        <v>68</v>
      </c>
      <c r="E15">
        <f>COUNTIFS(Schedule!$E$5:$E$61,D15,Schedule!$N$5:$N$61,"Core")</f>
        <v>16</v>
      </c>
      <c r="F15">
        <f>COUNTIFS(Schedule!$E$5:$E$61,D15,Schedule!$N$5:$N$61,"Core",Schedule!$S$5:$S$61,"Published")</f>
        <v>2</v>
      </c>
      <c r="H15" t="s">
        <v>374</v>
      </c>
      <c r="I15">
        <f>COUNTIF(Schedule!$K$5:$K$61,"Planned")</f>
        <v>40</v>
      </c>
    </row>
    <row r="16" spans="1:10">
      <c r="A16" t="s">
        <v>115</v>
      </c>
      <c r="B16">
        <f>COUNTIFS(Schedule!$N$5:$N$61,"Core",Schedule!$S$5:$S$61,A16)</f>
        <v>40</v>
      </c>
      <c r="D16" t="s">
        <v>111</v>
      </c>
      <c r="E16">
        <f>COUNTIFS(Schedule!$E$5:$E$61,D16,Schedule!$N$5:$N$61,"Core")</f>
        <v>14</v>
      </c>
      <c r="F16">
        <f>COUNTIFS(Schedule!$E$5:$E$61,D16,Schedule!$N$5:$N$61,"Core",Schedule!$S$5:$S$61,"Published")</f>
        <v>0</v>
      </c>
      <c r="H16" t="s">
        <v>375</v>
      </c>
      <c r="I16">
        <f>COUNTIF(Schedule!$K$5:$K$61,"Skipped")</f>
        <v>0</v>
      </c>
    </row>
    <row r="17" spans="1:10">
      <c r="A17" t="s">
        <v>101</v>
      </c>
      <c r="B17">
        <f>COUNTIFS(Schedule!$N$5:$N$61,"Core",Schedule!$S$5:$S$61,A17)</f>
        <v>0</v>
      </c>
    </row>
    <row r="19" spans="1:10">
      <c r="A19" s="30" t="s">
        <v>376</v>
      </c>
      <c r="B19" s="30"/>
      <c r="C19" s="30"/>
      <c r="D19" s="30"/>
      <c r="E19" s="30"/>
      <c r="F19" s="30"/>
      <c r="G19" s="30"/>
      <c r="H19" s="30"/>
      <c r="I19" s="30"/>
      <c r="J19" s="30"/>
    </row>
    <row r="20" spans="1:10" ht="18.649999999999999" customHeight="1">
      <c r="A20" s="31" t="s">
        <v>377</v>
      </c>
      <c r="B20" s="31"/>
      <c r="C20" s="31"/>
      <c r="D20" s="31"/>
      <c r="E20" s="31"/>
      <c r="F20" s="31"/>
      <c r="G20" s="31"/>
      <c r="H20" s="31"/>
      <c r="I20" s="31"/>
      <c r="J20" s="31"/>
    </row>
    <row r="21" spans="1:10" ht="18.649999999999999" customHeight="1">
      <c r="A21" s="31" t="s">
        <v>378</v>
      </c>
      <c r="B21" s="31"/>
      <c r="C21" s="31"/>
      <c r="D21" s="31"/>
      <c r="E21" s="31"/>
      <c r="F21" s="31"/>
      <c r="G21" s="31"/>
      <c r="H21" s="31"/>
      <c r="I21" s="31"/>
      <c r="J21" s="31"/>
    </row>
    <row r="22" spans="1:10" ht="18.649999999999999" customHeight="1">
      <c r="A22" s="31" t="s">
        <v>379</v>
      </c>
      <c r="B22" s="31"/>
      <c r="C22" s="31"/>
      <c r="D22" s="31"/>
      <c r="E22" s="31"/>
      <c r="F22" s="31"/>
      <c r="G22" s="31"/>
      <c r="H22" s="31"/>
      <c r="I22" s="31"/>
      <c r="J22" s="31"/>
    </row>
    <row r="23" spans="1:10" ht="18.649999999999999" customHeight="1">
      <c r="A23" s="31" t="s">
        <v>380</v>
      </c>
      <c r="B23" s="31"/>
      <c r="C23" s="31"/>
      <c r="D23" s="31"/>
      <c r="E23" s="31"/>
      <c r="F23" s="31"/>
      <c r="G23" s="31"/>
      <c r="H23" s="31"/>
      <c r="I23" s="31"/>
      <c r="J23" s="31"/>
    </row>
  </sheetData>
  <mergeCells count="26">
    <mergeCell ref="A19:J19"/>
    <mergeCell ref="A20:J20"/>
    <mergeCell ref="A21:J21"/>
    <mergeCell ref="A22:J22"/>
    <mergeCell ref="A23:J23"/>
    <mergeCell ref="I8:J8"/>
    <mergeCell ref="I9:J10"/>
    <mergeCell ref="A12:C12"/>
    <mergeCell ref="D12:G12"/>
    <mergeCell ref="H12:J12"/>
    <mergeCell ref="A8:B8"/>
    <mergeCell ref="A9:B10"/>
    <mergeCell ref="D8:E8"/>
    <mergeCell ref="D9:E10"/>
    <mergeCell ref="G8:H8"/>
    <mergeCell ref="G9:H10"/>
    <mergeCell ref="A1:J1"/>
    <mergeCell ref="A2:J2"/>
    <mergeCell ref="A4:B4"/>
    <mergeCell ref="A5:B6"/>
    <mergeCell ref="D4:E4"/>
    <mergeCell ref="D5:E6"/>
    <mergeCell ref="G4:H4"/>
    <mergeCell ref="G5:H6"/>
    <mergeCell ref="I4:J4"/>
    <mergeCell ref="I5:J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Weekly Rhythm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Human Safety Foundation</cp:lastModifiedBy>
  <dcterms:modified xsi:type="dcterms:W3CDTF">2026-09-07T05:33:07Z</dcterms:modified>
</cp:coreProperties>
</file>