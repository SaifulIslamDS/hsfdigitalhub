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6e01d99db94aa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01-P48" sheetId="1" r:id="Recaa74c04f5e4abf"/>
    <x:sheet xmlns:r="http://schemas.openxmlformats.org/officeDocument/2006/relationships" name="Source Notes" sheetId="2" r:id="Rfcf73fd0dc584452"/>
    <x:sheet xmlns:r="http://schemas.openxmlformats.org/officeDocument/2006/relationships" name="HSF in Action" sheetId="3" r:id="R5827018c008d4ebf"/>
    <x:sheet xmlns:r="http://schemas.openxmlformats.org/officeDocument/2006/relationships" name="48-Day Tracker" sheetId="4" r:id="Rb59d8b48c2ec4784"/>
    <x:sheet xmlns:r="http://schemas.openxmlformats.org/officeDocument/2006/relationships" name="Dashboard" sheetId="5" r:id="Rd627eddb9f6b43a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-mmm-yyyy"/>
    <x:numFmt numFmtId="201" formatCode="0%"/>
  </x:numFmts>
  <x:fonts count="6">
    <x:font>
      <x:sz val="11"/>
      <x:name val="Carlito"/>
    </x:font>
    <x:font>
      <x:b/>
      <x:sz val="11"/>
      <x:color rgb="FFFFFFFF"/>
      <x:name val="Carlito"/>
    </x:font>
    <x:font>
      <x:b/>
      <x:sz val="11"/>
      <x:color rgb="FF8D4B00"/>
      <x:name val="Carlito"/>
    </x:font>
    <x:font>
      <x:b/>
      <x:sz val="11"/>
      <x:color rgb="FF006B35"/>
      <x:name val="Carlito"/>
    </x:font>
    <x:font>
      <x:b/>
      <x:sz val="16"/>
      <x:color rgb="FFFFFFFF"/>
      <x:name val="Carlito"/>
    </x:font>
    <x:font>
      <x:b/>
      <x:sz val="13"/>
      <x:color rgb="FF006B35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08C44"/>
      </x:patternFill>
    </x:fill>
    <x:fill>
      <x:patternFill patternType="solid">
        <x:fgColor rgb="FFFFF7E6"/>
      </x:patternFill>
    </x:fill>
    <x:fill>
      <x:patternFill patternType="solid">
        <x:fgColor rgb="FF009A44"/>
      </x:patternFill>
    </x:fill>
    <x:fill>
      <x:patternFill patternType="solid">
        <x:fgColor rgb="FFD7F0FA"/>
      </x:patternFill>
    </x:fill>
    <x:fill>
      <x:patternFill patternType="solid">
        <x:fgColor rgb="FFFFFFFF"/>
      </x:patternFill>
    </x:fill>
    <x:fill>
      <x:patternFill patternType="solid">
        <x:fgColor rgb="FFFFF6E8"/>
      </x:patternFill>
    </x:fill>
    <x:fill>
      <x:patternFill patternType="solid">
        <x:fgColor rgb="FF163F2A"/>
      </x:patternFill>
    </x:fill>
    <x:fill>
      <x:patternFill patternType="solid">
        <x:fgColor rgb="FFEAF7F0"/>
      </x:patternFill>
    </x:fill>
    <x:fill>
      <x:patternFill patternType="solid">
        <x:fgColor rgb="FFFAFCFB"/>
      </x:patternFill>
    </x:fill>
  </x:fills>
  <x:borders count="3">
    <x:border/>
    <x:border/>
    <x:border>
      <x:bottom style="thin">
        <x:color rgb="FF35B9E8"/>
      </x:bottom>
    </x:border>
  </x:borders>
  <x:cellStyleXfs count="1">
    <x:xf numFmtId="0" fontId="0" fillId="0" borderId="0"/>
  </x:cellStyleXfs>
  <x:cellXfs count="6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0" borderId="0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0" borderId="1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horizontal="center" vertical="top" wrapText="1"/>
    </x:xf>
    <x:xf numFmtId="0" fontId="0" fillId="3" borderId="0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horizontal="center" vertical="top" wrapText="1"/>
    </x:xf>
    <x:xf numFmtId="0" fontId="0" fillId="3" borderId="1" xfId="0" applyNumberFormat="1" applyFont="1" applyFill="1" applyBorder="1" applyAlignment="1">
      <x:alignment horizontal="center" vertical="top" wrapText="1"/>
    </x:xf>
    <x:xf numFmtId="0" fontId="2" fillId="3" borderId="0" xfId="0" applyNumberFormat="1" applyFont="1" applyFill="1" applyBorder="1" applyAlignment="1">
      <x:alignment horizontal="center" vertical="top" wrapText="1"/>
    </x:xf>
    <x:xf numFmtId="0" fontId="2" fillId="3" borderId="1" xfId="0" applyNumberFormat="1" applyFont="1" applyFill="1" applyBorder="1" applyAlignment="1">
      <x:alignment horizontal="center" vertical="top" wrapText="1"/>
    </x:xf>
    <x:xf numFmtId="0" fontId="3" fillId="0" borderId="0" xfId="0" applyNumberFormat="1" applyFont="1" applyFill="1" applyBorder="1"/>
    <x:xf numFmtId="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200" fontId="0" fillId="5" borderId="0" xfId="0" applyNumberFormat="1" applyFont="1" applyFill="1" applyBorder="1" applyAlignment="1">
      <x:alignment wrapText="1"/>
    </x:xf>
    <x:xf numFmtId="0" fontId="0" fillId="5" borderId="2" xfId="0" applyNumberFormat="1" applyFont="1" applyFill="1" applyBorder="1" applyAlignment="1">
      <x:alignment wrapText="1"/>
    </x:xf>
    <x:xf numFmtId="200" fontId="0" fillId="5" borderId="2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200" fontId="0" fillId="6" borderId="0" xfId="0" applyNumberFormat="1" applyFont="1" applyFill="1" applyBorder="1" applyAlignment="1">
      <x:alignment wrapText="1"/>
    </x:xf>
    <x:xf numFmtId="0" fontId="0" fillId="6" borderId="2" xfId="0" applyNumberFormat="1" applyFont="1" applyFill="1" applyBorder="1" applyAlignment="1">
      <x:alignment wrapText="1"/>
    </x:xf>
    <x:xf numFmtId="200" fontId="0" fillId="6" borderId="2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200" fontId="0" fillId="7" borderId="0" xfId="0" applyNumberFormat="1" applyFont="1" applyFill="1" applyBorder="1" applyAlignment="1">
      <x:alignment wrapText="1"/>
    </x:xf>
    <x:xf numFmtId="0" fontId="0" fillId="7" borderId="2" xfId="0" applyNumberFormat="1" applyFont="1" applyFill="1" applyBorder="1" applyAlignment="1">
      <x:alignment wrapText="1"/>
    </x:xf>
    <x:xf numFmtId="200" fontId="0" fillId="7" borderId="2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200" fontId="0" fillId="5" borderId="0" xfId="0" applyNumberFormat="1" applyFont="1" applyFill="1" applyBorder="1" applyAlignment="1">
      <x:alignment vertical="top" wrapText="1"/>
    </x:xf>
    <x:xf numFmtId="0" fontId="0" fillId="5" borderId="2" xfId="0" applyNumberFormat="1" applyFont="1" applyFill="1" applyBorder="1" applyAlignment="1">
      <x:alignment vertical="top" wrapText="1"/>
    </x:xf>
    <x:xf numFmtId="200" fontId="0" fillId="5" borderId="2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200" fontId="0" fillId="6" borderId="0" xfId="0" applyNumberFormat="1" applyFont="1" applyFill="1" applyBorder="1" applyAlignment="1">
      <x:alignment vertical="top" wrapText="1"/>
    </x:xf>
    <x:xf numFmtId="0" fontId="0" fillId="6" borderId="2" xfId="0" applyNumberFormat="1" applyFont="1" applyFill="1" applyBorder="1" applyAlignment="1">
      <x:alignment vertical="top" wrapText="1"/>
    </x:xf>
    <x:xf numFmtId="200" fontId="0" fillId="6" borderId="2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4" fillId="8" borderId="0" xfId="0" applyNumberFormat="1" applyFont="1" applyFill="1" applyBorder="1"/>
    <x:xf numFmtId="0" fontId="4" fillId="8" borderId="0" xfId="0" applyNumberFormat="1" applyFont="1" applyFill="1" applyBorder="1" applyAlignment="1">
      <x:alignment horizontal="left"/>
    </x:xf>
    <x:xf numFmtId="0" fontId="4" fillId="8" borderId="0" xfId="0" applyNumberFormat="1" applyFont="1" applyFill="1" applyBorder="1" applyAlignment="1">
      <x:alignment horizontal="left" vertical="center"/>
    </x:xf>
    <x:xf numFmtId="201" fontId="0" fillId="0" borderId="0" xfId="0" applyNumberFormat="1" applyFont="1" applyFill="1" applyBorder="1"/>
    <x:xf numFmtId="0" fontId="0" fillId="9" borderId="0" xfId="0" applyNumberFormat="1" applyFont="1" applyFill="1" applyBorder="1"/>
    <x:xf numFmtId="0" fontId="5" fillId="9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1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16">
    <x:dxf>
      <x:font>
        <x:b/>
        <x:color rgb="FF006B35"/>
      </x:font>
      <x:fill>
        <x:patternFill patternType="solid">
          <x:bgColor rgb="FFEAF7F0"/>
        </x:patternFill>
      </x:fill>
    </x:dxf>
    <x:dxf>
      <x:font>
        <x:b/>
        <x:color rgb="FFA65D00"/>
      </x:font>
      <x:fill>
        <x:patternFill patternType="solid">
          <x:bgColor rgb="FFFFF3D6"/>
        </x:patternFill>
      </x:fill>
    </x:dxf>
    <x:dxf>
      <x:font>
        <x:b/>
        <x:color rgb="FF006B35"/>
      </x:font>
      <x:fill>
        <x:patternFill patternType="solid">
          <x:bgColor rgb="FFEAF7F0"/>
        </x:patternFill>
      </x:fill>
    </x:dxf>
    <x:dxf>
      <x:font>
        <x:b/>
        <x:color rgb="FFA65D00"/>
      </x:font>
      <x:fill>
        <x:patternFill patternType="solid">
          <x:bgColor rgb="FFFFF3D6"/>
        </x:patternFill>
      </x:fill>
    </x:dxf>
    <x:dxf>
      <x:font>
        <x:b/>
        <x:color rgb="FF9B1C1C"/>
      </x:font>
      <x:fill>
        <x:patternFill patternType="solid">
          <x:bgColor rgb="FFFDECEC"/>
        </x:patternFill>
      </x:fill>
    </x:dxf>
    <x:dxf>
      <x:font>
        <x:b/>
        <x:color rgb="FF006B35"/>
      </x:font>
      <x:fill>
        <x:patternFill patternType="solid">
          <x:bgColor rgb="FFEAF7F0"/>
        </x:patternFill>
      </x:fill>
    </x:dxf>
    <x:dxf>
      <x:font>
        <x:b/>
        <x:color rgb="FF6F4A8E"/>
      </x:font>
      <x:fill>
        <x:patternFill patternType="solid">
          <x:bgColor rgb="FFF3ECF8"/>
        </x:patternFill>
      </x:fill>
    </x:dxf>
    <x:dxf>
      <x:font>
        <x:b/>
        <x:color rgb="FFA65D00"/>
      </x:font>
      <x:fill>
        <x:patternFill patternType="solid">
          <x:bgColor rgb="FFFFF3D6"/>
        </x:patternFill>
      </x:fill>
    </x:dxf>
    <x:dxf>
      <x:font>
        <x:b/>
        <x:color rgb="FF1769AA"/>
      </x:font>
      <x:fill>
        <x:patternFill patternType="solid">
          <x:bgColor rgb="FFEAF3FB"/>
        </x:patternFill>
      </x:fill>
    </x:dxf>
    <x:dxf>
      <x:font>
        <x:b/>
        <x:color rgb="FF006B35"/>
      </x:font>
      <x:fill>
        <x:patternFill patternType="solid">
          <x:bgColor rgb="FFE8F4EA"/>
        </x:patternFill>
      </x:fill>
    </x:dxf>
    <x:dxf>
      <x:font>
        <x:b/>
        <x:color rgb="FF006B35"/>
      </x:font>
      <x:fill>
        <x:patternFill patternType="solid">
          <x:bgColor rgb="FFEAF7F0"/>
        </x:patternFill>
      </x:fill>
    </x:dxf>
    <x:dxf>
      <x:font>
        <x:b/>
        <x:color rgb="FFA65D00"/>
      </x:font>
      <x:fill>
        <x:patternFill patternType="solid">
          <x:bgColor rgb="FFFFF3D6"/>
        </x:patternFill>
      </x:fill>
    </x:dxf>
    <x:dxf>
      <x:font>
        <x:b/>
        <x:color rgb="FF006B35"/>
      </x:font>
      <x:fill>
        <x:patternFill patternType="solid">
          <x:bgColor rgb="FFEAF7F0"/>
        </x:patternFill>
      </x:fill>
    </x:dxf>
    <x:dxf>
      <x:font>
        <x:b/>
        <x:color rgb="FFA65D00"/>
      </x:font>
      <x:fill>
        <x:patternFill patternType="solid">
          <x:bgColor rgb="FFFFF3D6"/>
        </x:patternFill>
      </x:fill>
    </x:dxf>
    <x:dxf>
      <x:font>
        <x:b/>
        <x:color rgb="FF006B35"/>
      </x:font>
      <x:fill>
        <x:patternFill patternType="solid">
          <x:bgColor rgb="FFEAF7F0"/>
        </x:patternFill>
      </x:fill>
    </x:dxf>
    <x:dxf>
      <x:font>
        <x:b/>
        <x:color rgb="FF1769AA"/>
      </x:font>
      <x:fill>
        <x:patternFill patternType="solid">
          <x:bgColor rgb="FFEEF6F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8e41f3d9c24e96" /><Relationship Type="http://schemas.openxmlformats.org/officeDocument/2006/relationships/theme" Target="/xl/theme/theme1.xml" Id="Re249f9aae11f41e7" /><Relationship Type="http://schemas.openxmlformats.org/officeDocument/2006/relationships/sharedStrings" Target="/xl/sharedStrings.xml" Id="Rb0f6b18e50c9403f" /><Relationship Type="http://schemas.openxmlformats.org/officeDocument/2006/relationships/worksheet" Target="/xl/worksheets/sheet1.xml" Id="Recaa74c04f5e4abf" /><Relationship Type="http://schemas.openxmlformats.org/officeDocument/2006/relationships/worksheet" Target="/xl/worksheets/sheet2.xml" Id="Rfcf73fd0dc584452" /><Relationship Type="http://schemas.openxmlformats.org/officeDocument/2006/relationships/worksheet" Target="/xl/worksheets/sheet3.xml" Id="R5827018c008d4ebf" /><Relationship Type="http://schemas.openxmlformats.org/officeDocument/2006/relationships/worksheet" Target="/xl/worksheets/sheet4.xml" Id="Rb59d8b48c2ec4784" /><Relationship Type="http://schemas.openxmlformats.org/officeDocument/2006/relationships/worksheet" Target="/xl/worksheets/sheet5.xml" Id="Rd627eddb9f6b43af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7f2ff792ae95491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Planned HSF in Action Mix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Planned Slots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11</xdr:row>
      <xdr:rowOff>0</xdr:rowOff>
    </xdr:from>
    <xdr:to>
      <xdr:col>10</xdr:col>
      <xdr:colOff>0</xdr:colOff>
      <xdr:row>28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f2ff792ae95491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rePostsTable" displayName="CorePostsTable" ref="A1:F49" headerRowCount="1" totalsRowCount="0" totalsRowShown="0">
  <x:tableColumns count="6">
    <x:tableColumn id="1" name="Post ID"/>
    <x:tableColumn id="2" name="Theme"/>
    <x:tableColumn id="3" name="Issue/Resolution"/>
    <x:tableColumn id="4" name="Exact Post Heading"/>
    <x:tableColumn id="5" name="Standard/Special Engagement"/>
    <x:tableColumn id="6" name="Programme/Topic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HSFInActionTable" displayName="HSFInActionTable" ref="A1:M49" headerRowCount="1" totalsRowCount="0" totalsRowShown="0">
  <x:tableColumns count="13">
    <x:tableColumn id="1" name="Day"/>
    <x:tableColumn id="2" name="Date"/>
    <x:tableColumn id="3" name="Overlay ID"/>
    <x:tableColumn id="4" name="Category"/>
    <x:tableColumn id="5" name="Programme / Area"/>
    <x:tableColumn id="6" name="Post Idea / Angle"/>
    <x:tableColumn id="7" name="Best Visual Treatment"/>
    <x:tableColumn id="8" name="Evidence Requirement"/>
    <x:tableColumn id="9" name="Safeguarding / Editorial Note"/>
    <x:tableColumn id="10" name="Status"/>
    <x:tableColumn id="11" name="Final Caption / Published Copy"/>
    <x:tableColumn id="12" name="Post URL"/>
    <x:tableColumn id="13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CycleTrackerTable" displayName="CycleTrackerTable" ref="A1:R49" headerRowCount="1" totalsRowCount="0" totalsRowShown="0">
  <x:tableColumns count="18">
    <x:tableColumn id="1" name="Day"/>
    <x:tableColumn id="2" name="Date"/>
    <x:tableColumn id="3" name="Morning Window"/>
    <x:tableColumn id="4" name="Overlay ID"/>
    <x:tableColumn id="5" name="Overlay Category"/>
    <x:tableColumn id="6" name="Morning Post Idea"/>
    <x:tableColumn id="7" name="Morning Status"/>
    <x:tableColumn id="8" name="Morning Post URL"/>
    <x:tableColumn id="9" name="Afternoon Window"/>
    <x:tableColumn id="10" name="Core ID"/>
    <x:tableColumn id="11" name="Issue / Resolution"/>
    <x:tableColumn id="12" name="Core Heading"/>
    <x:tableColumn id="13" name="Core Format"/>
    <x:tableColumn id="14" name="Core Status"/>
    <x:tableColumn id="15" name="Core Post URL"/>
    <x:tableColumn id="16" name="Day Status"/>
    <x:tableColumn id="17" name="Evidence / Safeguarding Check"/>
    <x:tableColumn id="18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9f8d787c1c448f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99bf2d89e91488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fba2833c7bb84a09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64a476e38c704843" /></Relationships>
</file>

<file path=xl/worksheets/sheet1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46" hidden="0" customWidth="1"/>
    <x:col min="3" max="3" width="19" hidden="0" customWidth="1"/>
    <x:col min="4" max="4" width="68" hidden="0" customWidth="1"/>
    <x:col min="5" max="5" width="25" hidden="0" customWidth="1"/>
    <x:col min="6" max="6" width="34" hidden="0" customWidth="1"/>
    <x:col min="7" max="7" width="10" hidden="0" customWidth="1"/>
    <x:col min="8" max="8" width="14" hidden="0" customWidth="1"/>
    <x:col min="9" max="9" width="16" hidden="0" customWidth="1"/>
    <x:col min="10" max="10" width="13" hidden="0" customWidth="1"/>
    <x:col min="11" max="11" width="28" hidden="0" customWidth="1"/>
  </x:cols>
  <x:sheetData>
    <x:row r="1" ht="32" customHeight="1">
      <x:c r="A1" s="6" t="str">
        <x:v>Post ID</x:v>
      </x:c>
      <x:c r="B1" s="6" t="str">
        <x:v>Theme</x:v>
      </x:c>
      <x:c r="C1" s="6" t="str">
        <x:v>Issue/Resolution</x:v>
      </x:c>
      <x:c r="D1" s="6" t="str">
        <x:v>Exact Post Heading</x:v>
      </x:c>
      <x:c r="E1" s="6" t="str">
        <x:v>Standard/Special Engagement</x:v>
      </x:c>
      <x:c r="F1" s="6" t="str">
        <x:v>Programme/Topic</x:v>
      </x:c>
      <x:c r="G1" s="36" t="str">
        <x:v>Cycle Day</x:v>
      </x:c>
      <x:c r="H1" s="36" t="str">
        <x:v>Planned Date</x:v>
      </x:c>
      <x:c r="I1" s="36" t="str">
        <x:v>Time Window</x:v>
      </x:c>
      <x:c r="J1" s="36" t="str">
        <x:v>Status</x:v>
      </x:c>
      <x:c r="K1" s="36" t="str">
        <x:v>Post URL / Notes</x:v>
      </x:c>
    </x:row>
    <x:row r="2">
      <x:c r="A2" s="20" t="str">
        <x:v>P01</x:v>
      </x:c>
      <x:c r="B2" s="14" t="str">
        <x:v>Theme 01 — Education Continuity During Financial Hardship</x:v>
      </x:c>
      <x:c r="C2" s="24" t="str">
        <x:v>Issue</x:v>
      </x:c>
      <x:c r="D2" s="14" t="str">
        <x:v>When Money Becomes a Barrier to Learning</x:v>
      </x:c>
      <x:c r="E2" s="24" t="str">
        <x:v>Standard</x:v>
      </x:c>
      <x:c r="F2" s="14" t="str">
        <x:v>Education · E4BL</x:v>
      </x:c>
      <x:c r="G2" s="41" t="n">
        <x:v>1</x:v>
      </x:c>
      <x:c r="H2" s="42" t="n">
        <x:v>46266</x:v>
      </x:c>
      <x:c r="I2" s="41" t="str">
        <x:v>4:00–5:00 PM</x:v>
      </x:c>
      <x:c r="J2" s="41" t="str">
        <x:v>Published</x:v>
      </x:c>
      <x:c r="K2" s="41" t="str"/>
    </x:row>
    <x:row r="3">
      <x:c r="A3" s="20" t="str">
        <x:v>P02</x:v>
      </x:c>
      <x:c r="B3" s="14" t="str">
        <x:v>Theme 01 — Education Continuity During Financial Hardship</x:v>
      </x:c>
      <x:c r="C3" s="24" t="str">
        <x:v>Resolution</x:v>
      </x:c>
      <x:c r="D3" s="14" t="str">
        <x:v>How Learning Can Continue When Resources Are Limited</x:v>
      </x:c>
      <x:c r="E3" s="24" t="str">
        <x:v>Standard</x:v>
      </x:c>
      <x:c r="F3" s="14" t="str">
        <x:v>Education · E4BL</x:v>
      </x:c>
      <x:c r="G3" s="45" t="n">
        <x:v>2</x:v>
      </x:c>
      <x:c r="H3" s="46" t="n">
        <x:v>46267</x:v>
      </x:c>
      <x:c r="I3" s="45" t="str">
        <x:v>4:00–5:00 PM</x:v>
      </x:c>
      <x:c r="J3" s="45" t="str">
        <x:v>Next</x:v>
      </x:c>
      <x:c r="K3" s="45" t="str"/>
    </x:row>
    <x:row r="4">
      <x:c r="A4" s="20" t="str">
        <x:v>P03</x:v>
      </x:c>
      <x:c r="B4" s="14" t="str">
        <x:v>Theme 02 — Preventing School Dropout Early</x:v>
      </x:c>
      <x:c r="C4" s="24" t="str">
        <x:v>Issue</x:v>
      </x:c>
      <x:c r="D4" s="14" t="str">
        <x:v>School Dropout Usually Starts Before the Last Day in Class</x:v>
      </x:c>
      <x:c r="E4" s="24" t="str">
        <x:v>Standard</x:v>
      </x:c>
      <x:c r="F4" s="14" t="str">
        <x:v>Education · Child Protection · E4BL</x:v>
      </x:c>
      <x:c r="G4" s="41" t="n">
        <x:v>3</x:v>
      </x:c>
      <x:c r="H4" s="42" t="n">
        <x:v>46268</x:v>
      </x:c>
      <x:c r="I4" s="41" t="str">
        <x:v>4:00–5:00 PM</x:v>
      </x:c>
      <x:c r="J4" s="41" t="str">
        <x:v>Planned</x:v>
      </x:c>
      <x:c r="K4" s="41" t="str"/>
    </x:row>
    <x:row r="5">
      <x:c r="A5" s="21" t="str">
        <x:v>P04</x:v>
      </x:c>
      <x:c r="B5" s="16" t="str">
        <x:v>Theme 02 — Preventing School Dropout Early</x:v>
      </x:c>
      <x:c r="C5" s="25" t="str">
        <x:v>Resolution</x:v>
      </x:c>
      <x:c r="D5" s="16" t="str">
        <x:v>Notice the Signs Before Learning Stops</x:v>
      </x:c>
      <x:c r="E5" s="28" t="str">
        <x:v>Special Engagement</x:v>
      </x:c>
      <x:c r="F5" s="16" t="str">
        <x:v>Education · Child Protection · E4BL</x:v>
      </x:c>
      <x:c r="G5" s="49" t="n">
        <x:v>4</x:v>
      </x:c>
      <x:c r="H5" s="50" t="n">
        <x:v>46269</x:v>
      </x:c>
      <x:c r="I5" s="49" t="str">
        <x:v>4:00–5:00 PM</x:v>
      </x:c>
      <x:c r="J5" s="49" t="str">
        <x:v>Planned</x:v>
      </x:c>
      <x:c r="K5" s="49" t="str"/>
    </x:row>
    <x:row r="6">
      <x:c r="A6" s="20" t="str">
        <x:v>P05</x:v>
      </x:c>
      <x:c r="B6" s="14" t="str">
        <x:v>Theme 03 — Learning With Minimal Resources</x:v>
      </x:c>
      <x:c r="C6" s="24" t="str">
        <x:v>Issue</x:v>
      </x:c>
      <x:c r="D6" s="14" t="str">
        <x:v>Learning Should Not Depend on Expensive Materials</x:v>
      </x:c>
      <x:c r="E6" s="24" t="str">
        <x:v>Standard</x:v>
      </x:c>
      <x:c r="F6" s="14" t="str">
        <x:v>Education · E4BL</x:v>
      </x:c>
      <x:c r="G6" s="41" t="n">
        <x:v>5</x:v>
      </x:c>
      <x:c r="H6" s="42" t="n">
        <x:v>46270</x:v>
      </x:c>
      <x:c r="I6" s="41" t="str">
        <x:v>4:00–5:00 PM</x:v>
      </x:c>
      <x:c r="J6" s="41" t="str">
        <x:v>Planned</x:v>
      </x:c>
      <x:c r="K6" s="41" t="str"/>
    </x:row>
    <x:row r="7">
      <x:c r="A7" s="20" t="str">
        <x:v>P06</x:v>
      </x:c>
      <x:c r="B7" s="14" t="str">
        <x:v>Theme 03 — Learning With Minimal Resources</x:v>
      </x:c>
      <x:c r="C7" s="24" t="str">
        <x:v>Resolution</x:v>
      </x:c>
      <x:c r="D7" s="14" t="str">
        <x:v>A Simple Learning Routine Can Start With What Is Already Available</x:v>
      </x:c>
      <x:c r="E7" s="24" t="str">
        <x:v>Standard</x:v>
      </x:c>
      <x:c r="F7" s="14" t="str">
        <x:v>Education · E4BL</x:v>
      </x:c>
      <x:c r="G7" s="45" t="n">
        <x:v>6</x:v>
      </x:c>
      <x:c r="H7" s="46" t="n">
        <x:v>46271</x:v>
      </x:c>
      <x:c r="I7" s="45" t="str">
        <x:v>4:00–5:00 PM</x:v>
      </x:c>
      <x:c r="J7" s="45" t="str">
        <x:v>Planned</x:v>
      </x:c>
      <x:c r="K7" s="45" t="str"/>
    </x:row>
    <x:row r="8">
      <x:c r="A8" s="20" t="str">
        <x:v>P07</x:v>
      </x:c>
      <x:c r="B8" s="14" t="str">
        <x:v>Theme 04 — Family and Teacher Support for Learning</x:v>
      </x:c>
      <x:c r="C8" s="24" t="str">
        <x:v>Issue</x:v>
      </x:c>
      <x:c r="D8" s="14" t="str">
        <x:v>A Child Struggles More When Home and School Work Separately</x:v>
      </x:c>
      <x:c r="E8" s="24" t="str">
        <x:v>Standard</x:v>
      </x:c>
      <x:c r="F8" s="14" t="str">
        <x:v>Education · E4BL</x:v>
      </x:c>
      <x:c r="G8" s="41" t="n">
        <x:v>7</x:v>
      </x:c>
      <x:c r="H8" s="42" t="n">
        <x:v>46272</x:v>
      </x:c>
      <x:c r="I8" s="41" t="str">
        <x:v>4:00–5:00 PM</x:v>
      </x:c>
      <x:c r="J8" s="41" t="str">
        <x:v>Planned</x:v>
      </x:c>
      <x:c r="K8" s="41" t="str"/>
    </x:row>
    <x:row r="9">
      <x:c r="A9" s="21" t="str">
        <x:v>P08</x:v>
      </x:c>
      <x:c r="B9" s="16" t="str">
        <x:v>Theme 04 — Family and Teacher Support for Learning</x:v>
      </x:c>
      <x:c r="C9" s="25" t="str">
        <x:v>Resolution</x:v>
      </x:c>
      <x:c r="D9" s="16" t="str">
        <x:v>One Small Teacher–Guardian Conversation Can Make Support Clearer</x:v>
      </x:c>
      <x:c r="E9" s="28" t="str">
        <x:v>Special Engagement</x:v>
      </x:c>
      <x:c r="F9" s="16" t="str">
        <x:v>Education · E4BL</x:v>
      </x:c>
      <x:c r="G9" s="49" t="n">
        <x:v>8</x:v>
      </x:c>
      <x:c r="H9" s="50" t="n">
        <x:v>46273</x:v>
      </x:c>
      <x:c r="I9" s="49" t="str">
        <x:v>4:00–5:00 PM</x:v>
      </x:c>
      <x:c r="J9" s="49" t="str">
        <x:v>Planned</x:v>
      </x:c>
      <x:c r="K9" s="49" t="str"/>
    </x:row>
    <x:row r="10">
      <x:c r="A10" s="20" t="str">
        <x:v>P09</x:v>
      </x:c>
      <x:c r="B10" s="14" t="str">
        <x:v>Theme 05 — Child Labour and Education</x:v>
      </x:c>
      <x:c r="C10" s="24" t="str">
        <x:v>Issue</x:v>
      </x:c>
      <x:c r="D10" s="14" t="str">
        <x:v>A Small Income Today Can Carry a Long Educational Cost</x:v>
      </x:c>
      <x:c r="E10" s="24" t="str">
        <x:v>Standard</x:v>
      </x:c>
      <x:c r="F10" s="14" t="str">
        <x:v>Education · Child Rights</x:v>
      </x:c>
      <x:c r="G10" s="41" t="n">
        <x:v>9</x:v>
      </x:c>
      <x:c r="H10" s="42" t="n">
        <x:v>46274</x:v>
      </x:c>
      <x:c r="I10" s="41" t="str">
        <x:v>4:00–5:00 PM</x:v>
      </x:c>
      <x:c r="J10" s="41" t="str">
        <x:v>Planned</x:v>
      </x:c>
      <x:c r="K10" s="41" t="str"/>
    </x:row>
    <x:row r="11">
      <x:c r="A11" s="20" t="str">
        <x:v>P10</x:v>
      </x:c>
      <x:c r="B11" s="14" t="str">
        <x:v>Theme 05 — Child Labour and Education</x:v>
      </x:c>
      <x:c r="C11" s="24" t="str">
        <x:v>Resolution</x:v>
      </x:c>
      <x:c r="D11" s="14" t="str">
        <x:v>What Can Help a Child Stay Connected to Learning</x:v>
      </x:c>
      <x:c r="E11" s="24" t="str">
        <x:v>Standard</x:v>
      </x:c>
      <x:c r="F11" s="14" t="str">
        <x:v>Education · Child Rights</x:v>
      </x:c>
      <x:c r="G11" s="45" t="n">
        <x:v>10</x:v>
      </x:c>
      <x:c r="H11" s="46" t="n">
        <x:v>46275</x:v>
      </x:c>
      <x:c r="I11" s="45" t="str">
        <x:v>4:00–5:00 PM</x:v>
      </x:c>
      <x:c r="J11" s="45" t="str">
        <x:v>Planned</x:v>
      </x:c>
      <x:c r="K11" s="45" t="str"/>
    </x:row>
    <x:row r="12">
      <x:c r="A12" s="20" t="str">
        <x:v>P11</x:v>
      </x:c>
      <x:c r="B12" s="14" t="str">
        <x:v>Theme 06 — Safe Childhood, Protection and Voice</x:v>
      </x:c>
      <x:c r="C12" s="24" t="str">
        <x:v>Issue</x:v>
      </x:c>
      <x:c r="D12" s="14" t="str">
        <x:v>Children Need More Than Attendance; They Need Safety and a Voice</x:v>
      </x:c>
      <x:c r="E12" s="24" t="str">
        <x:v>Standard</x:v>
      </x:c>
      <x:c r="F12" s="14" t="str">
        <x:v>Child Rights · Safeguarding</x:v>
      </x:c>
      <x:c r="G12" s="41" t="n">
        <x:v>11</x:v>
      </x:c>
      <x:c r="H12" s="42" t="n">
        <x:v>46276</x:v>
      </x:c>
      <x:c r="I12" s="41" t="str">
        <x:v>4:00–5:00 PM</x:v>
      </x:c>
      <x:c r="J12" s="41" t="str">
        <x:v>Planned</x:v>
      </x:c>
      <x:c r="K12" s="41" t="str"/>
    </x:row>
    <x:row r="13">
      <x:c r="A13" s="21" t="str">
        <x:v>P12</x:v>
      </x:c>
      <x:c r="B13" s="16" t="str">
        <x:v>Theme 06 — Safe Childhood, Protection and Voice</x:v>
      </x:c>
      <x:c r="C13" s="25" t="str">
        <x:v>Resolution</x:v>
      </x:c>
      <x:c r="D13" s="16" t="str">
        <x:v>Safe Support Should Make It Easier for a Child to Be Heard</x:v>
      </x:c>
      <x:c r="E13" s="28" t="str">
        <x:v>Special Engagement</x:v>
      </x:c>
      <x:c r="F13" s="16" t="str">
        <x:v>Child Rights · Safeguarding</x:v>
      </x:c>
      <x:c r="G13" s="49" t="n">
        <x:v>12</x:v>
      </x:c>
      <x:c r="H13" s="50" t="n">
        <x:v>46277</x:v>
      </x:c>
      <x:c r="I13" s="49" t="str">
        <x:v>4:00–5:00 PM</x:v>
      </x:c>
      <x:c r="J13" s="49" t="str">
        <x:v>Planned</x:v>
      </x:c>
      <x:c r="K13" s="49" t="str"/>
    </x:row>
    <x:row r="14">
      <x:c r="A14" s="20" t="str">
        <x:v>P13</x:v>
      </x:c>
      <x:c r="B14" s="14" t="str">
        <x:v>Theme 07 — Primary Healthcare Before Crisis</x:v>
      </x:c>
      <x:c r="C14" s="24" t="str">
        <x:v>Issue</x:v>
      </x:c>
      <x:c r="D14" s="14" t="str">
        <x:v>Waiting Too Long Can Make a Manageable Health Concern Harder</x:v>
      </x:c>
      <x:c r="E14" s="24" t="str">
        <x:v>Standard</x:v>
      </x:c>
      <x:c r="F14" s="14" t="str">
        <x:v>Health · A2PHC</x:v>
      </x:c>
      <x:c r="G14" s="41" t="n">
        <x:v>13</x:v>
      </x:c>
      <x:c r="H14" s="42" t="n">
        <x:v>46278</x:v>
      </x:c>
      <x:c r="I14" s="41" t="str">
        <x:v>4:00–5:00 PM</x:v>
      </x:c>
      <x:c r="J14" s="41" t="str">
        <x:v>Planned</x:v>
      </x:c>
      <x:c r="K14" s="41" t="str"/>
    </x:row>
    <x:row r="15">
      <x:c r="A15" s="20" t="str">
        <x:v>P14</x:v>
      </x:c>
      <x:c r="B15" s="14" t="str">
        <x:v>Theme 07 — Primary Healthcare Before Crisis</x:v>
      </x:c>
      <x:c r="C15" s="24" t="str">
        <x:v>Resolution</x:v>
      </x:c>
      <x:c r="D15" s="14" t="str">
        <x:v>Primary Care Can Help People Seek the Right Next Step Earlier</x:v>
      </x:c>
      <x:c r="E15" s="24" t="str">
        <x:v>Standard</x:v>
      </x:c>
      <x:c r="F15" s="14" t="str">
        <x:v>Health · A2PHC</x:v>
      </x:c>
      <x:c r="G15" s="45" t="n">
        <x:v>14</x:v>
      </x:c>
      <x:c r="H15" s="46" t="n">
        <x:v>46279</x:v>
      </x:c>
      <x:c r="I15" s="45" t="str">
        <x:v>4:00–5:00 PM</x:v>
      </x:c>
      <x:c r="J15" s="45" t="str">
        <x:v>Planned</x:v>
      </x:c>
      <x:c r="K15" s="45" t="str"/>
    </x:row>
    <x:row r="16">
      <x:c r="A16" s="20" t="str">
        <x:v>P15</x:v>
      </x:c>
      <x:c r="B16" s="14" t="str">
        <x:v>Theme 08 — Everyday Health Literacy and Prevention</x:v>
      </x:c>
      <x:c r="C16" s="24" t="str">
        <x:v>Issue</x:v>
      </x:c>
      <x:c r="D16" s="14" t="str">
        <x:v>Health Information Is Everywhere, but Not All of It Is Reliable</x:v>
      </x:c>
      <x:c r="E16" s="24" t="str">
        <x:v>Standard</x:v>
      </x:c>
      <x:c r="F16" s="14" t="str">
        <x:v>Health · A2PHC</x:v>
      </x:c>
      <x:c r="G16" s="41" t="n">
        <x:v>15</x:v>
      </x:c>
      <x:c r="H16" s="42" t="n">
        <x:v>46280</x:v>
      </x:c>
      <x:c r="I16" s="41" t="str">
        <x:v>4:00–5:00 PM</x:v>
      </x:c>
      <x:c r="J16" s="41" t="str">
        <x:v>Planned</x:v>
      </x:c>
      <x:c r="K16" s="41" t="str"/>
    </x:row>
    <x:row r="17">
      <x:c r="A17" s="21" t="str">
        <x:v>P16</x:v>
      </x:c>
      <x:c r="B17" s="16" t="str">
        <x:v>Theme 08 — Everyday Health Literacy and Prevention</x:v>
      </x:c>
      <x:c r="C17" s="25" t="str">
        <x:v>Resolution</x:v>
      </x:c>
      <x:c r="D17" s="16" t="str">
        <x:v>Simple Preventive Habits Work Best When the Advice Is Verified</x:v>
      </x:c>
      <x:c r="E17" s="28" t="str">
        <x:v>Special Engagement</x:v>
      </x:c>
      <x:c r="F17" s="16" t="str">
        <x:v>Health · A2PHC</x:v>
      </x:c>
      <x:c r="G17" s="49" t="n">
        <x:v>16</x:v>
      </x:c>
      <x:c r="H17" s="50" t="n">
        <x:v>46281</x:v>
      </x:c>
      <x:c r="I17" s="49" t="str">
        <x:v>4:00–5:00 PM</x:v>
      </x:c>
      <x:c r="J17" s="49" t="str">
        <x:v>Planned</x:v>
      </x:c>
      <x:c r="K17" s="49" t="str"/>
    </x:row>
    <x:row r="18">
      <x:c r="A18" s="20" t="str">
        <x:v>P17</x:v>
      </x:c>
      <x:c r="B18" s="14" t="str">
        <x:v>Theme 09 — Routine Health Checks and Silent Risks</x:v>
      </x:c>
      <x:c r="C18" s="24" t="str">
        <x:v>Issue</x:v>
      </x:c>
      <x:c r="D18" s="14" t="str">
        <x:v>Some Health Risks Do Not Announce Themselves Early</x:v>
      </x:c>
      <x:c r="E18" s="24" t="str">
        <x:v>Standard</x:v>
      </x:c>
      <x:c r="F18" s="14" t="str">
        <x:v>Health · A2PHC</x:v>
      </x:c>
      <x:c r="G18" s="41" t="n">
        <x:v>17</x:v>
      </x:c>
      <x:c r="H18" s="42" t="n">
        <x:v>46282</x:v>
      </x:c>
      <x:c r="I18" s="41" t="str">
        <x:v>4:00–5:00 PM</x:v>
      </x:c>
      <x:c r="J18" s="41" t="str">
        <x:v>Planned</x:v>
      </x:c>
      <x:c r="K18" s="41" t="str"/>
    </x:row>
    <x:row r="19">
      <x:c r="A19" s="20" t="str">
        <x:v>P18</x:v>
      </x:c>
      <x:c r="B19" s="14" t="str">
        <x:v>Theme 09 — Routine Health Checks and Silent Risks</x:v>
      </x:c>
      <x:c r="C19" s="24" t="str">
        <x:v>Resolution</x:v>
      </x:c>
      <x:c r="D19" s="14" t="str">
        <x:v>Routine Checks Can Support Earlier Professional Attention</x:v>
      </x:c>
      <x:c r="E19" s="24" t="str">
        <x:v>Standard</x:v>
      </x:c>
      <x:c r="F19" s="14" t="str">
        <x:v>Health · A2PHC</x:v>
      </x:c>
      <x:c r="G19" s="45" t="n">
        <x:v>18</x:v>
      </x:c>
      <x:c r="H19" s="46" t="n">
        <x:v>46283</x:v>
      </x:c>
      <x:c r="I19" s="45" t="str">
        <x:v>4:00–5:00 PM</x:v>
      </x:c>
      <x:c r="J19" s="45" t="str">
        <x:v>Planned</x:v>
      </x:c>
      <x:c r="K19" s="45" t="str"/>
    </x:row>
    <x:row r="20">
      <x:c r="A20" s="20" t="str">
        <x:v>P19</x:v>
      </x:c>
      <x:c r="B20" s="14" t="str">
        <x:v>Theme 10 — Safe Water, Food Hygiene and Sanitation</x:v>
      </x:c>
      <x:c r="C20" s="24" t="str">
        <x:v>Issue</x:v>
      </x:c>
      <x:c r="D20" s="14" t="str">
        <x:v>Small Hygiene Gaps Can Create Bigger Health Risks</x:v>
      </x:c>
      <x:c r="E20" s="24" t="str">
        <x:v>Standard</x:v>
      </x:c>
      <x:c r="F20" s="14" t="str">
        <x:v>Health · WASH · Community</x:v>
      </x:c>
      <x:c r="G20" s="41" t="n">
        <x:v>19</x:v>
      </x:c>
      <x:c r="H20" s="42" t="n">
        <x:v>46284</x:v>
      </x:c>
      <x:c r="I20" s="41" t="str">
        <x:v>4:00–5:00 PM</x:v>
      </x:c>
      <x:c r="J20" s="41" t="str">
        <x:v>Planned</x:v>
      </x:c>
      <x:c r="K20" s="41" t="str"/>
    </x:row>
    <x:row r="21">
      <x:c r="A21" s="21" t="str">
        <x:v>P20</x:v>
      </x:c>
      <x:c r="B21" s="16" t="str">
        <x:v>Theme 10 — Safe Water, Food Hygiene and Sanitation</x:v>
      </x:c>
      <x:c r="C21" s="25" t="str">
        <x:v>Resolution</x:v>
      </x:c>
      <x:c r="D21" s="16" t="str">
        <x:v>A Household Hygiene Checklist Can Turn Awareness Into Routine</x:v>
      </x:c>
      <x:c r="E21" s="28" t="str">
        <x:v>Special Engagement</x:v>
      </x:c>
      <x:c r="F21" s="16" t="str">
        <x:v>Health · WASH · Community</x:v>
      </x:c>
      <x:c r="G21" s="49" t="n">
        <x:v>20</x:v>
      </x:c>
      <x:c r="H21" s="50" t="n">
        <x:v>46285</x:v>
      </x:c>
      <x:c r="I21" s="49" t="str">
        <x:v>4:00–5:00 PM</x:v>
      </x:c>
      <x:c r="J21" s="49" t="str">
        <x:v>Planned</x:v>
      </x:c>
      <x:c r="K21" s="49" t="str"/>
    </x:row>
    <x:row r="22">
      <x:c r="A22" s="20" t="str">
        <x:v>P21</x:v>
      </x:c>
      <x:c r="B22" s="14" t="str">
        <x:v>Theme 11 — Women's Health, Menstrual Hygiene and Dignity</x:v>
      </x:c>
      <x:c r="C22" s="24" t="str">
        <x:v>Issue</x:v>
      </x:c>
      <x:c r="D22" s="14" t="str">
        <x:v>Shame and Misinformation Can Become Health and Education Barriers</x:v>
      </x:c>
      <x:c r="E22" s="24" t="str">
        <x:v>Standard</x:v>
      </x:c>
      <x:c r="F22" s="14" t="str">
        <x:v>Women &amp; Girls · Health · Education</x:v>
      </x:c>
      <x:c r="G22" s="41" t="n">
        <x:v>21</x:v>
      </x:c>
      <x:c r="H22" s="42" t="n">
        <x:v>46286</x:v>
      </x:c>
      <x:c r="I22" s="41" t="str">
        <x:v>4:00–5:00 PM</x:v>
      </x:c>
      <x:c r="J22" s="41" t="str">
        <x:v>Planned</x:v>
      </x:c>
      <x:c r="K22" s="41" t="str"/>
    </x:row>
    <x:row r="23">
      <x:c r="A23" s="20" t="str">
        <x:v>P22</x:v>
      </x:c>
      <x:c r="B23" s="14" t="str">
        <x:v>Theme 11 — Women's Health, Menstrual Hygiene and Dignity</x:v>
      </x:c>
      <x:c r="C23" s="24" t="str">
        <x:v>Resolution</x:v>
      </x:c>
      <x:c r="D23" s="14" t="str">
        <x:v>Menstrual Hygiene Information Should Be Practical, Private and Respectful</x:v>
      </x:c>
      <x:c r="E23" s="24" t="str">
        <x:v>Standard</x:v>
      </x:c>
      <x:c r="F23" s="14" t="str">
        <x:v>Women &amp; Girls · Health · Education</x:v>
      </x:c>
      <x:c r="G23" s="45" t="n">
        <x:v>22</x:v>
      </x:c>
      <x:c r="H23" s="46" t="n">
        <x:v>46287</x:v>
      </x:c>
      <x:c r="I23" s="45" t="str">
        <x:v>4:00–5:00 PM</x:v>
      </x:c>
      <x:c r="J23" s="45" t="str">
        <x:v>Planned</x:v>
      </x:c>
      <x:c r="K23" s="45" t="str"/>
    </x:row>
    <x:row r="24">
      <x:c r="A24" s="20" t="str">
        <x:v>P23</x:v>
      </x:c>
      <x:c r="B24" s="14" t="str">
        <x:v>Theme 12 — Heat Safety and Cooler Living Environments</x:v>
      </x:c>
      <x:c r="C24" s="24" t="str">
        <x:v>Issue</x:v>
      </x:c>
      <x:c r="D24" s="14" t="str">
        <x:v>Extreme Heat Is More Than Discomfort</x:v>
      </x:c>
      <x:c r="E24" s="24" t="str">
        <x:v>Standard</x:v>
      </x:c>
      <x:c r="F24" s="14" t="str">
        <x:v>Climate · Health · Community</x:v>
      </x:c>
      <x:c r="G24" s="41" t="n">
        <x:v>23</x:v>
      </x:c>
      <x:c r="H24" s="42" t="n">
        <x:v>46288</x:v>
      </x:c>
      <x:c r="I24" s="41" t="str">
        <x:v>4:00–5:00 PM</x:v>
      </x:c>
      <x:c r="J24" s="41" t="str">
        <x:v>Planned</x:v>
      </x:c>
      <x:c r="K24" s="41" t="str"/>
    </x:row>
    <x:row r="25">
      <x:c r="A25" s="21" t="str">
        <x:v>P24</x:v>
      </x:c>
      <x:c r="B25" s="16" t="str">
        <x:v>Theme 12 — Heat Safety and Cooler Living Environments</x:v>
      </x:c>
      <x:c r="C25" s="25" t="str">
        <x:v>Resolution</x:v>
      </x:c>
      <x:c r="D25" s="16" t="str">
        <x:v>Low-Cost Heat Actions Can Make Daily Spaces Safer</x:v>
      </x:c>
      <x:c r="E25" s="28" t="str">
        <x:v>Special Engagement</x:v>
      </x:c>
      <x:c r="F25" s="16" t="str">
        <x:v>Climate · Health · Community</x:v>
      </x:c>
      <x:c r="G25" s="49" t="n">
        <x:v>24</x:v>
      </x:c>
      <x:c r="H25" s="50" t="n">
        <x:v>46289</x:v>
      </x:c>
      <x:c r="I25" s="49" t="str">
        <x:v>4:00–5:00 PM</x:v>
      </x:c>
      <x:c r="J25" s="49" t="str">
        <x:v>Planned</x:v>
      </x:c>
      <x:c r="K25" s="49" t="str"/>
    </x:row>
    <x:row r="26">
      <x:c r="A26" s="20" t="str">
        <x:v>P25</x:v>
      </x:c>
      <x:c r="B26" s="14" t="str">
        <x:v>Theme 13 — Flood and Heavy-Rain Preparedness</x:v>
      </x:c>
      <x:c r="C26" s="24" t="str">
        <x:v>Issue</x:v>
      </x:c>
      <x:c r="D26" s="14" t="str">
        <x:v>Heavy Rain Becomes More Dangerous When Preparation Starts Too Late</x:v>
      </x:c>
      <x:c r="E26" s="24" t="str">
        <x:v>Standard</x:v>
      </x:c>
      <x:c r="F26" s="14" t="str">
        <x:v>Climate · Resilience</x:v>
      </x:c>
      <x:c r="G26" s="41" t="n">
        <x:v>25</x:v>
      </x:c>
      <x:c r="H26" s="42" t="n">
        <x:v>46290</x:v>
      </x:c>
      <x:c r="I26" s="41" t="str">
        <x:v>4:00–5:00 PM</x:v>
      </x:c>
      <x:c r="J26" s="41" t="str">
        <x:v>Planned</x:v>
      </x:c>
      <x:c r="K26" s="41" t="str"/>
    </x:row>
    <x:row r="27">
      <x:c r="A27" s="20" t="str">
        <x:v>P26</x:v>
      </x:c>
      <x:c r="B27" s="14" t="str">
        <x:v>Theme 13 — Flood and Heavy-Rain Preparedness</x:v>
      </x:c>
      <x:c r="C27" s="24" t="str">
        <x:v>Resolution</x:v>
      </x:c>
      <x:c r="D27" s="14" t="str">
        <x:v>A Simple Household Readiness Plan Can Reduce Avoidable Risk</x:v>
      </x:c>
      <x:c r="E27" s="24" t="str">
        <x:v>Standard</x:v>
      </x:c>
      <x:c r="F27" s="14" t="str">
        <x:v>Climate · Resilience</x:v>
      </x:c>
      <x:c r="G27" s="45" t="n">
        <x:v>26</x:v>
      </x:c>
      <x:c r="H27" s="46" t="n">
        <x:v>46291</x:v>
      </x:c>
      <x:c r="I27" s="45" t="str">
        <x:v>4:00–5:00 PM</x:v>
      </x:c>
      <x:c r="J27" s="45" t="str">
        <x:v>Planned</x:v>
      </x:c>
      <x:c r="K27" s="45" t="str"/>
    </x:row>
    <x:row r="28">
      <x:c r="A28" s="20" t="str">
        <x:v>P27</x:v>
      </x:c>
      <x:c r="B28" s="14" t="str">
        <x:v>Theme 14 — Plastic Use, Waste and Cleaner Communities</x:v>
      </x:c>
      <x:c r="C28" s="24" t="str">
        <x:v>Issue</x:v>
      </x:c>
      <x:c r="D28" s="14" t="str">
        <x:v>Single-Use Plastic Leaves a Longer Problem Than Its Short Use</x:v>
      </x:c>
      <x:c r="E28" s="24" t="str">
        <x:v>Standard</x:v>
      </x:c>
      <x:c r="F28" s="14" t="str">
        <x:v>Climate · Environment · Community</x:v>
      </x:c>
      <x:c r="G28" s="41" t="n">
        <x:v>27</x:v>
      </x:c>
      <x:c r="H28" s="42" t="n">
        <x:v>46292</x:v>
      </x:c>
      <x:c r="I28" s="41" t="str">
        <x:v>4:00–5:00 PM</x:v>
      </x:c>
      <x:c r="J28" s="41" t="str">
        <x:v>Planned</x:v>
      </x:c>
      <x:c r="K28" s="41" t="str"/>
    </x:row>
    <x:row r="29">
      <x:c r="A29" s="21" t="str">
        <x:v>P28</x:v>
      </x:c>
      <x:c r="B29" s="16" t="str">
        <x:v>Theme 14 — Plastic Use, Waste and Cleaner Communities</x:v>
      </x:c>
      <x:c r="C29" s="25" t="str">
        <x:v>Resolution</x:v>
      </x:c>
      <x:c r="D29" s="16" t="str">
        <x:v>Plastic Reduction Works Better as a Practical Habit Than a Slogan</x:v>
      </x:c>
      <x:c r="E29" s="28" t="str">
        <x:v>Special Engagement</x:v>
      </x:c>
      <x:c r="F29" s="16" t="str">
        <x:v>Climate · Environment · Community</x:v>
      </x:c>
      <x:c r="G29" s="49" t="n">
        <x:v>28</x:v>
      </x:c>
      <x:c r="H29" s="50" t="n">
        <x:v>46293</x:v>
      </x:c>
      <x:c r="I29" s="49" t="str">
        <x:v>4:00–5:00 PM</x:v>
      </x:c>
      <x:c r="J29" s="49" t="str">
        <x:v>Planned</x:v>
      </x:c>
      <x:c r="K29" s="49" t="str"/>
    </x:row>
    <x:row r="30">
      <x:c r="A30" s="20" t="str">
        <x:v>P29</x:v>
      </x:c>
      <x:c r="B30" s="14" t="str">
        <x:v>Theme 15 — Trees, Shade, Water and Community Climate Resilience</x:v>
      </x:c>
      <x:c r="C30" s="24" t="str">
        <x:v>Issue</x:v>
      </x:c>
      <x:c r="D30" s="14" t="str">
        <x:v>Hotter, Harder Spaces Are Often Shaped by the Environment Around Us</x:v>
      </x:c>
      <x:c r="E30" s="24" t="str">
        <x:v>Standard</x:v>
      </x:c>
      <x:c r="F30" s="14" t="str">
        <x:v>Climate · Environment</x:v>
      </x:c>
      <x:c r="G30" s="41" t="n">
        <x:v>29</x:v>
      </x:c>
      <x:c r="H30" s="42" t="n">
        <x:v>46294</x:v>
      </x:c>
      <x:c r="I30" s="41" t="str">
        <x:v>4:00–5:00 PM</x:v>
      </x:c>
      <x:c r="J30" s="41" t="str">
        <x:v>Planned</x:v>
      </x:c>
      <x:c r="K30" s="41" t="str"/>
    </x:row>
    <x:row r="31">
      <x:c r="A31" s="20" t="str">
        <x:v>P30</x:v>
      </x:c>
      <x:c r="B31" s="14" t="str">
        <x:v>Theme 15 — Trees, Shade, Water and Community Climate Resilience</x:v>
      </x:c>
      <x:c r="C31" s="24" t="str">
        <x:v>Resolution</x:v>
      </x:c>
      <x:c r="D31" s="14" t="str">
        <x:v>Small Local Design Choices Can Improve Shade, Comfort and Resilience</x:v>
      </x:c>
      <x:c r="E31" s="24" t="str">
        <x:v>Standard</x:v>
      </x:c>
      <x:c r="F31" s="14" t="str">
        <x:v>Climate · Environment</x:v>
      </x:c>
      <x:c r="G31" s="45" t="n">
        <x:v>30</x:v>
      </x:c>
      <x:c r="H31" s="46" t="n">
        <x:v>46295</x:v>
      </x:c>
      <x:c r="I31" s="45" t="str">
        <x:v>4:00–5:00 PM</x:v>
      </x:c>
      <x:c r="J31" s="45" t="str">
        <x:v>Planned</x:v>
      </x:c>
      <x:c r="K31" s="45" t="str"/>
    </x:row>
    <x:row r="32">
      <x:c r="A32" s="20" t="str">
        <x:v>P31</x:v>
      </x:c>
      <x:c r="B32" s="14" t="str">
        <x:v>Theme 16 — Poverty, Hardship and Dignity</x:v>
      </x:c>
      <x:c r="C32" s="24" t="str">
        <x:v>Issue</x:v>
      </x:c>
      <x:c r="D32" s="14" t="str">
        <x:v>Hardship Narrows Choices, but It Should Not Reduce Human Dignity</x:v>
      </x:c>
      <x:c r="E32" s="24" t="str">
        <x:v>Standard</x:v>
      </x:c>
      <x:c r="F32" s="14" t="str">
        <x:v>Human Development · Dignity</x:v>
      </x:c>
      <x:c r="G32" s="41" t="n">
        <x:v>31</x:v>
      </x:c>
      <x:c r="H32" s="42" t="n">
        <x:v>46296</x:v>
      </x:c>
      <x:c r="I32" s="41" t="str">
        <x:v>4:00–5:00 PM</x:v>
      </x:c>
      <x:c r="J32" s="41" t="str">
        <x:v>Planned</x:v>
      </x:c>
      <x:c r="K32" s="41" t="str"/>
    </x:row>
    <x:row r="33">
      <x:c r="A33" s="21" t="str">
        <x:v>P32</x:v>
      </x:c>
      <x:c r="B33" s="16" t="str">
        <x:v>Theme 16 — Poverty, Hardship and Dignity</x:v>
      </x:c>
      <x:c r="C33" s="25" t="str">
        <x:v>Resolution</x:v>
      </x:c>
      <x:c r="D33" s="16" t="str">
        <x:v>Support Creates More Value When Choice and Respect Remain Visible</x:v>
      </x:c>
      <x:c r="E33" s="28" t="str">
        <x:v>Special Engagement</x:v>
      </x:c>
      <x:c r="F33" s="16" t="str">
        <x:v>Human Development · Dignity</x:v>
      </x:c>
      <x:c r="G33" s="49" t="n">
        <x:v>32</x:v>
      </x:c>
      <x:c r="H33" s="50" t="n">
        <x:v>46297</x:v>
      </x:c>
      <x:c r="I33" s="49" t="str">
        <x:v>4:00–5:00 PM</x:v>
      </x:c>
      <x:c r="J33" s="49" t="str">
        <x:v>Planned</x:v>
      </x:c>
      <x:c r="K33" s="49" t="str"/>
    </x:row>
    <x:row r="34">
      <x:c r="A34" s="20" t="str">
        <x:v>P33</x:v>
      </x:c>
      <x:c r="B34" s="14" t="str">
        <x:v>Theme 17 — Skills Development With Minimal Resources</x:v>
      </x:c>
      <x:c r="C34" s="24" t="str">
        <x:v>Issue</x:v>
      </x:c>
      <x:c r="D34" s="14" t="str">
        <x:v>Lack of Money Should Not Mean Lack of a Starting Point</x:v>
      </x:c>
      <x:c r="E34" s="24" t="str">
        <x:v>Standard</x:v>
      </x:c>
      <x:c r="F34" s="14" t="str">
        <x:v>Skills · Youth · Opportunity</x:v>
      </x:c>
      <x:c r="G34" s="41" t="n">
        <x:v>33</x:v>
      </x:c>
      <x:c r="H34" s="42" t="n">
        <x:v>46298</x:v>
      </x:c>
      <x:c r="I34" s="41" t="str">
        <x:v>4:00–5:00 PM</x:v>
      </x:c>
      <x:c r="J34" s="41" t="str">
        <x:v>Planned</x:v>
      </x:c>
      <x:c r="K34" s="41" t="str"/>
    </x:row>
    <x:row r="35">
      <x:c r="A35" s="20" t="str">
        <x:v>P34</x:v>
      </x:c>
      <x:c r="B35" s="14" t="str">
        <x:v>Theme 17 — Skills Development With Minimal Resources</x:v>
      </x:c>
      <x:c r="C35" s="24" t="str">
        <x:v>Resolution</x:v>
      </x:c>
      <x:c r="D35" s="14" t="str">
        <x:v>One Useful Skill Can Be Built Through a Small, Structured Learning Path</x:v>
      </x:c>
      <x:c r="E35" s="24" t="str">
        <x:v>Standard</x:v>
      </x:c>
      <x:c r="F35" s="14" t="str">
        <x:v>Skills · Youth · Opportunity</x:v>
      </x:c>
      <x:c r="G35" s="45" t="n">
        <x:v>34</x:v>
      </x:c>
      <x:c r="H35" s="46" t="n">
        <x:v>46299</x:v>
      </x:c>
      <x:c r="I35" s="45" t="str">
        <x:v>4:00–5:00 PM</x:v>
      </x:c>
      <x:c r="J35" s="45" t="str">
        <x:v>Planned</x:v>
      </x:c>
      <x:c r="K35" s="45" t="str"/>
    </x:row>
    <x:row r="36">
      <x:c r="A36" s="20" t="str">
        <x:v>P35</x:v>
      </x:c>
      <x:c r="B36" s="14" t="str">
        <x:v>Theme 18 — Digital Learning and Safe Online Opportunity</x:v>
      </x:c>
      <x:c r="C36" s="24" t="str">
        <x:v>Issue</x:v>
      </x:c>
      <x:c r="D36" s="14" t="str">
        <x:v>Free Online Learning Helps Only When People Can Find and Use It Safely</x:v>
      </x:c>
      <x:c r="E36" s="24" t="str">
        <x:v>Standard</x:v>
      </x:c>
      <x:c r="F36" s="14" t="str">
        <x:v>Digital Skills · Youth · Safety</x:v>
      </x:c>
      <x:c r="G36" s="41" t="n">
        <x:v>35</x:v>
      </x:c>
      <x:c r="H36" s="42" t="n">
        <x:v>46300</x:v>
      </x:c>
      <x:c r="I36" s="41" t="str">
        <x:v>4:00–5:00 PM</x:v>
      </x:c>
      <x:c r="J36" s="41" t="str">
        <x:v>Planned</x:v>
      </x:c>
      <x:c r="K36" s="41" t="str"/>
    </x:row>
    <x:row r="37">
      <x:c r="A37" s="21" t="str">
        <x:v>P36</x:v>
      </x:c>
      <x:c r="B37" s="16" t="str">
        <x:v>Theme 18 — Digital Learning and Safe Online Opportunity</x:v>
      </x:c>
      <x:c r="C37" s="25" t="str">
        <x:v>Resolution</x:v>
      </x:c>
      <x:c r="D37" s="16" t="str">
        <x:v>A Simple Digital Learning Routine Can Reduce Cost, Confusion and Risk</x:v>
      </x:c>
      <x:c r="E37" s="28" t="str">
        <x:v>Special Engagement</x:v>
      </x:c>
      <x:c r="F37" s="16" t="str">
        <x:v>Digital Skills · Youth · Safety</x:v>
      </x:c>
      <x:c r="G37" s="49" t="n">
        <x:v>36</x:v>
      </x:c>
      <x:c r="H37" s="50" t="n">
        <x:v>46301</x:v>
      </x:c>
      <x:c r="I37" s="49" t="str">
        <x:v>4:00–5:00 PM</x:v>
      </x:c>
      <x:c r="J37" s="49" t="str">
        <x:v>Planned</x:v>
      </x:c>
      <x:c r="K37" s="49" t="str"/>
    </x:row>
    <x:row r="38">
      <x:c r="A38" s="20" t="str">
        <x:v>P37</x:v>
      </x:c>
      <x:c r="B38" s="14" t="str">
        <x:v>Theme 19 — Women and Girls: Skills, Agency and Opportunity</x:v>
      </x:c>
      <x:c r="C38" s="24" t="str">
        <x:v>Issue</x:v>
      </x:c>
      <x:c r="D38" s="14" t="str">
        <x:v>Opportunity Shrinks When Skills, Mobility and Confidence Are Restricted</x:v>
      </x:c>
      <x:c r="E38" s="24" t="str">
        <x:v>Standard</x:v>
      </x:c>
      <x:c r="F38" s="14" t="str">
        <x:v>Women Empowerment · Skills</x:v>
      </x:c>
      <x:c r="G38" s="41" t="n">
        <x:v>37</x:v>
      </x:c>
      <x:c r="H38" s="42" t="n">
        <x:v>46302</x:v>
      </x:c>
      <x:c r="I38" s="41" t="str">
        <x:v>4:00–5:00 PM</x:v>
      </x:c>
      <x:c r="J38" s="41" t="str">
        <x:v>Planned</x:v>
      </x:c>
      <x:c r="K38" s="41" t="str"/>
    </x:row>
    <x:row r="39">
      <x:c r="A39" s="20" t="str">
        <x:v>P38</x:v>
      </x:c>
      <x:c r="B39" s="14" t="str">
        <x:v>Theme 19 — Women and Girls: Skills, Agency and Opportunity</x:v>
      </x:c>
      <x:c r="C39" s="24" t="str">
        <x:v>Resolution</x:v>
      </x:c>
      <x:c r="D39" s="14" t="str">
        <x:v>Skills and Support Can Expand Choice When Agency Remains Central</x:v>
      </x:c>
      <x:c r="E39" s="24" t="str">
        <x:v>Standard</x:v>
      </x:c>
      <x:c r="F39" s="14" t="str">
        <x:v>Women Empowerment · Skills</x:v>
      </x:c>
      <x:c r="G39" s="45" t="n">
        <x:v>38</x:v>
      </x:c>
      <x:c r="H39" s="46" t="n">
        <x:v>46303</x:v>
      </x:c>
      <x:c r="I39" s="45" t="str">
        <x:v>4:00–5:00 PM</x:v>
      </x:c>
      <x:c r="J39" s="45" t="str">
        <x:v>Planned</x:v>
      </x:c>
      <x:c r="K39" s="45" t="str"/>
    </x:row>
    <x:row r="40">
      <x:c r="A40" s="20" t="str">
        <x:v>P39</x:v>
      </x:c>
      <x:c r="B40" s="14" t="str">
        <x:v>Theme 20 — Human Rights in Everyday Community Life</x:v>
      </x:c>
      <x:c r="C40" s="24" t="str">
        <x:v>Issue</x:v>
      </x:c>
      <x:c r="D40" s="14" t="str">
        <x:v>Rights Are Tested in Ordinary Moments, Not Only in Courtrooms</x:v>
      </x:c>
      <x:c r="E40" s="24" t="str">
        <x:v>Standard</x:v>
      </x:c>
      <x:c r="F40" s="14" t="str">
        <x:v>Human Rights · Community</x:v>
      </x:c>
      <x:c r="G40" s="41" t="n">
        <x:v>39</x:v>
      </x:c>
      <x:c r="H40" s="42" t="n">
        <x:v>46304</x:v>
      </x:c>
      <x:c r="I40" s="41" t="str">
        <x:v>4:00–5:00 PM</x:v>
      </x:c>
      <x:c r="J40" s="41" t="str">
        <x:v>Planned</x:v>
      </x:c>
      <x:c r="K40" s="41" t="str"/>
    </x:row>
    <x:row r="41">
      <x:c r="A41" s="21" t="str">
        <x:v>P40</x:v>
      </x:c>
      <x:c r="B41" s="16" t="str">
        <x:v>Theme 20 — Human Rights in Everyday Community Life</x:v>
      </x:c>
      <x:c r="C41" s="25" t="str">
        <x:v>Resolution</x:v>
      </x:c>
      <x:c r="D41" s="16" t="str">
        <x:v>Respect Becomes Real Through Everyday Behaviour</x:v>
      </x:c>
      <x:c r="E41" s="28" t="str">
        <x:v>Special Engagement</x:v>
      </x:c>
      <x:c r="F41" s="16" t="str">
        <x:v>Human Rights · Community</x:v>
      </x:c>
      <x:c r="G41" s="49" t="n">
        <x:v>40</x:v>
      </x:c>
      <x:c r="H41" s="50" t="n">
        <x:v>46305</x:v>
      </x:c>
      <x:c r="I41" s="49" t="str">
        <x:v>4:00–5:00 PM</x:v>
      </x:c>
      <x:c r="J41" s="49" t="str">
        <x:v>Planned</x:v>
      </x:c>
      <x:c r="K41" s="49" t="str"/>
    </x:row>
    <x:row r="42">
      <x:c r="A42" s="20" t="str">
        <x:v>P41</x:v>
      </x:c>
      <x:c r="B42" s="14" t="str">
        <x:v>Theme 21 — Respect, Inclusion and Non-Discrimination</x:v>
      </x:c>
      <x:c r="C42" s="24" t="str">
        <x:v>Issue</x:v>
      </x:c>
      <x:c r="D42" s="14" t="str">
        <x:v>Exclusion Can Be Quiet and Still Cause Harm</x:v>
      </x:c>
      <x:c r="E42" s="24" t="str">
        <x:v>Standard</x:v>
      </x:c>
      <x:c r="F42" s="14" t="str">
        <x:v>Inclusion · Human Rights</x:v>
      </x:c>
      <x:c r="G42" s="41" t="n">
        <x:v>41</x:v>
      </x:c>
      <x:c r="H42" s="42" t="n">
        <x:v>46306</x:v>
      </x:c>
      <x:c r="I42" s="41" t="str">
        <x:v>4:00–5:00 PM</x:v>
      </x:c>
      <x:c r="J42" s="41" t="str">
        <x:v>Planned</x:v>
      </x:c>
      <x:c r="K42" s="41" t="str"/>
    </x:row>
    <x:row r="43">
      <x:c r="A43" s="20" t="str">
        <x:v>P42</x:v>
      </x:c>
      <x:c r="B43" s="14" t="str">
        <x:v>Theme 21 — Respect, Inclusion and Non-Discrimination</x:v>
      </x:c>
      <x:c r="C43" s="24" t="str">
        <x:v>Resolution</x:v>
      </x:c>
      <x:c r="D43" s="14" t="str">
        <x:v>Inclusive Participation Can Be Built Through Small, Repeatable Practices</x:v>
      </x:c>
      <x:c r="E43" s="24" t="str">
        <x:v>Standard</x:v>
      </x:c>
      <x:c r="F43" s="14" t="str">
        <x:v>Inclusion · Human Rights</x:v>
      </x:c>
      <x:c r="G43" s="45" t="n">
        <x:v>42</x:v>
      </x:c>
      <x:c r="H43" s="46" t="n">
        <x:v>46307</x:v>
      </x:c>
      <x:c r="I43" s="45" t="str">
        <x:v>4:00–5:00 PM</x:v>
      </x:c>
      <x:c r="J43" s="45" t="str">
        <x:v>Planned</x:v>
      </x:c>
      <x:c r="K43" s="45" t="str"/>
    </x:row>
    <x:row r="44">
      <x:c r="A44" s="20" t="str">
        <x:v>P43</x:v>
      </x:c>
      <x:c r="B44" s="14" t="str">
        <x:v>Theme 22 — Trusted Information: Rumours, Myths and Verification</x:v>
      </x:c>
      <x:c r="C44" s="24" t="str">
        <x:v>Issue</x:v>
      </x:c>
      <x:c r="D44" s="14" t="str">
        <x:v>A Helpful-Looking Post Can Still Be Wrong</x:v>
      </x:c>
      <x:c r="E44" s="24" t="str">
        <x:v>Standard</x:v>
      </x:c>
      <x:c r="F44" s="14" t="str">
        <x:v>Information Literacy · Community</x:v>
      </x:c>
      <x:c r="G44" s="41" t="n">
        <x:v>43</x:v>
      </x:c>
      <x:c r="H44" s="42" t="n">
        <x:v>46308</x:v>
      </x:c>
      <x:c r="I44" s="41" t="str">
        <x:v>4:00–5:00 PM</x:v>
      </x:c>
      <x:c r="J44" s="41" t="str">
        <x:v>Planned</x:v>
      </x:c>
      <x:c r="K44" s="41" t="str"/>
    </x:row>
    <x:row r="45">
      <x:c r="A45" s="21" t="str">
        <x:v>P44</x:v>
      </x:c>
      <x:c r="B45" s="16" t="str">
        <x:v>Theme 22 — Trusted Information: Rumours, Myths and Verification</x:v>
      </x:c>
      <x:c r="C45" s="25" t="str">
        <x:v>Resolution</x:v>
      </x:c>
      <x:c r="D45" s="16" t="str">
        <x:v>Pause, Check, Then Share</x:v>
      </x:c>
      <x:c r="E45" s="28" t="str">
        <x:v>Special Engagement</x:v>
      </x:c>
      <x:c r="F45" s="16" t="str">
        <x:v>Information Literacy · Community</x:v>
      </x:c>
      <x:c r="G45" s="49" t="n">
        <x:v>44</x:v>
      </x:c>
      <x:c r="H45" s="50" t="n">
        <x:v>46309</x:v>
      </x:c>
      <x:c r="I45" s="49" t="str">
        <x:v>4:00–5:00 PM</x:v>
      </x:c>
      <x:c r="J45" s="49" t="str">
        <x:v>Planned</x:v>
      </x:c>
      <x:c r="K45" s="49" t="str"/>
    </x:row>
    <x:row r="46">
      <x:c r="A46" s="20" t="str">
        <x:v>P45</x:v>
      </x:c>
      <x:c r="B46" s="14" t="str">
        <x:v>Theme 23 — Evidence, Transparency and Trust in Social Action</x:v>
      </x:c>
      <x:c r="C46" s="24" t="str">
        <x:v>Issue</x:v>
      </x:c>
      <x:c r="D46" s="14" t="str">
        <x:v>A Number Without Context Can Mislead</x:v>
      </x:c>
      <x:c r="E46" s="24" t="str">
        <x:v>Standard</x:v>
      </x:c>
      <x:c r="F46" s="14" t="str">
        <x:v>Institutional Communication · MEAL</x:v>
      </x:c>
      <x:c r="G46" s="41" t="n">
        <x:v>45</x:v>
      </x:c>
      <x:c r="H46" s="42" t="n">
        <x:v>46310</x:v>
      </x:c>
      <x:c r="I46" s="41" t="str">
        <x:v>4:00–5:00 PM</x:v>
      </x:c>
      <x:c r="J46" s="41" t="str">
        <x:v>Planned</x:v>
      </x:c>
      <x:c r="K46" s="41" t="str"/>
    </x:row>
    <x:row r="47">
      <x:c r="A47" s="20" t="str">
        <x:v>P46</x:v>
      </x:c>
      <x:c r="B47" s="14" t="str">
        <x:v>Theme 23 — Evidence, Transparency and Trust in Social Action</x:v>
      </x:c>
      <x:c r="C47" s="24" t="str">
        <x:v>Resolution</x:v>
      </x:c>
      <x:c r="D47" s="14" t="str">
        <x:v>Responsible Public Claims Should Show Scope, Period and Source</x:v>
      </x:c>
      <x:c r="E47" s="24" t="str">
        <x:v>Standard</x:v>
      </x:c>
      <x:c r="F47" s="14" t="str">
        <x:v>Institutional Communication · MEAL</x:v>
      </x:c>
      <x:c r="G47" s="45" t="n">
        <x:v>46</x:v>
      </x:c>
      <x:c r="H47" s="46" t="n">
        <x:v>46311</x:v>
      </x:c>
      <x:c r="I47" s="45" t="str">
        <x:v>4:00–5:00 PM</x:v>
      </x:c>
      <x:c r="J47" s="45" t="str">
        <x:v>Planned</x:v>
      </x:c>
      <x:c r="K47" s="45" t="str"/>
    </x:row>
    <x:row r="48">
      <x:c r="A48" s="20" t="str">
        <x:v>P47</x:v>
      </x:c>
      <x:c r="B48" s="14" t="str">
        <x:v>Theme 24 — Volunteering, Partnership and Responsible Community Action</x:v>
      </x:c>
      <x:c r="C48" s="24" t="str">
        <x:v>Issue</x:v>
      </x:c>
      <x:c r="D48" s="14" t="str">
        <x:v>Good Intentions Create More Value When They Become Useful Action</x:v>
      </x:c>
      <x:c r="E48" s="24" t="str">
        <x:v>Standard</x:v>
      </x:c>
      <x:c r="F48" s="14" t="str">
        <x:v>Community Action · Partnership · Support</x:v>
      </x:c>
      <x:c r="G48" s="41" t="n">
        <x:v>47</x:v>
      </x:c>
      <x:c r="H48" s="42" t="n">
        <x:v>46312</x:v>
      </x:c>
      <x:c r="I48" s="41" t="str">
        <x:v>4:00–5:00 PM</x:v>
      </x:c>
      <x:c r="J48" s="41" t="str">
        <x:v>Planned</x:v>
      </x:c>
      <x:c r="K48" s="41" t="str"/>
    </x:row>
    <x:row r="49">
      <x:c r="A49" s="21" t="str">
        <x:v>P48</x:v>
      </x:c>
      <x:c r="B49" s="16" t="str">
        <x:v>Theme 24 — Volunteering, Partnership and Responsible Community Action</x:v>
      </x:c>
      <x:c r="C49" s="25" t="str">
        <x:v>Resolution</x:v>
      </x:c>
      <x:c r="D49" s="16" t="str">
        <x:v>From Empathy to Action: One Responsible Contribution Is Enough to Start</x:v>
      </x:c>
      <x:c r="E49" s="28" t="str">
        <x:v>Special Engagement</x:v>
      </x:c>
      <x:c r="F49" s="16" t="str">
        <x:v>Community Action · Partnership · Support</x:v>
      </x:c>
      <x:c r="G49" s="49" t="n">
        <x:v>48</x:v>
      </x:c>
      <x:c r="H49" s="50" t="n">
        <x:v>46313</x:v>
      </x:c>
      <x:c r="I49" s="49" t="str">
        <x:v>4:00–5:00 PM</x:v>
      </x:c>
      <x:c r="J49" s="49" t="str">
        <x:v>Planned</x:v>
      </x:c>
      <x:c r="K49" s="49" t="str"/>
    </x:row>
  </x:sheetData>
  <x:conditionalFormatting sqref="J2:J49">
    <x:cfRule type="expression" dxfId="0" priority="1">
      <x:formula>J2="Published"</x:formula>
    </x:cfRule>
    <x:cfRule type="expression" dxfId="1" priority="2">
      <x:formula>J2="Next"</x:formula>
    </x:cfRule>
  </x:conditionalFormatting>
  <x:dataValidations count="1">
    <x:dataValidation type="list" sqref="J2:J49">
      <x:formula1>"Planned,Next,Drafting,Ready,Scheduled,Published,Held"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99f8d787c1c448f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34" t="str">
        <x:v>Field</x:v>
      </x:c>
      <x:c r="B1" s="34" t="str">
        <x:v>Value</x:v>
      </x:c>
    </x:row>
    <x:row r="2">
      <x:c r="A2" s="67" t="str">
        <x:v>Organization</x:v>
      </x:c>
      <x:c r="B2" s="12" t="str">
        <x:v>Human Safety Foundation (HSF)</x:v>
      </x:c>
    </x:row>
    <x:row r="3">
      <x:c r="A3" s="67" t="str">
        <x:v>Repository baseline</x:v>
      </x:c>
      <x:c r="B3" s="12" t="str">
        <x:v>HSF Digital Transformation Knowledge Hub v1.4.0 stable baseline; current 48-day operating model documented separately.</x:v>
      </x:c>
    </x:row>
    <x:row r="4">
      <x:c r="A4" s="67" t="str">
        <x:v>Core source</x:v>
      </x:c>
      <x:c r="B4" s="12" t="str">
        <x:v>HSF_Social_Communication_P01-P48_v3.2.xlsx / Social Communication Plan v3.2</x:v>
      </x:c>
    </x:row>
    <x:row r="5">
      <x:c r="A5" s="67" t="str">
        <x:v>Core architecture</x:v>
      </x:c>
      <x:c r="B5" s="12" t="str">
        <x:v>24 themes × Issue/Resolution = 48 locked core posts; every fourth core post remains Special Engagement.</x:v>
      </x:c>
    </x:row>
    <x:row r="6">
      <x:c r="A6" s="67" t="str">
        <x:v>Current cycle start</x:v>
      </x:c>
      <x:c r="B6" s="12" t="str">
        <x:v>01 September 2026</x:v>
      </x:c>
    </x:row>
    <x:row r="7">
      <x:c r="A7" s="67" t="str">
        <x:v>Current cycle end</x:v>
      </x:c>
      <x:c r="B7" s="12" t="str">
        <x:v>18 October 2026</x:v>
      </x:c>
    </x:row>
    <x:row r="8">
      <x:c r="A8" s="67" t="str">
        <x:v>Afternoon stream</x:v>
      </x:c>
      <x:c r="B8" s="12" t="str">
        <x:v>HSF Knowledge &amp; Awareness — one P01–P48 post each day at about 4:00–5:00 PM.</x:v>
      </x:c>
    </x:row>
    <x:row r="9">
      <x:c r="A9" s="67" t="str">
        <x:v>Pair rhythm</x:v>
      </x:c>
      <x:c r="B9" s="12" t="str">
        <x:v>Issue today → Resolution tomorrow. Each theme therefore spans two consecutive days.</x:v>
      </x:c>
    </x:row>
    <x:row r="10">
      <x:c r="A10" s="67" t="str">
        <x:v>Morning stream</x:v>
      </x:c>
      <x:c r="B10" s="12" t="str">
        <x:v>HSF in Action — Special Overlay at about 9:00–10:00 AM.</x:v>
      </x:c>
    </x:row>
    <x:row r="11">
      <x:c r="A11" s="67" t="str">
        <x:v>Overlay categories</x:v>
      </x:c>
      <x:c r="B11" s="12" t="str">
        <x:v>FIELD / MOMENT / EVENT / OBS / HSF. Morning publishing is activity- and relevance-led; a slot may be skipped when evidence/value/safety is insufficient.</x:v>
      </x:c>
    </x:row>
    <x:row r="12">
      <x:c r="A12" s="67" t="str">
        <x:v>Activity planning sources</x:v>
      </x:c>
      <x:c r="B12" s="12" t="str">
        <x:v>HSF_Detailed_Activity_Inventory_2026-08-27.md; HSF_Regular_Activity_List_English.docx</x:v>
      </x:c>
    </x:row>
    <x:row r="13">
      <x:c r="A13" s="67" t="str">
        <x:v>Activity-source rule</x:v>
      </x:c>
      <x:c r="B13" s="12" t="str">
        <x:v>Regular Activity List is the main recurring activity bank. Detailed Activity Inventory provides wider evidence/history/context. Current verified programme records remain the final authority before publication.</x:v>
      </x:c>
    </x:row>
    <x:row r="14">
      <x:c r="A14" s="67" t="str">
        <x:v>Published morning post — Day 1</x:v>
      </x:c>
      <x:c r="B14" s="12" t="str">
        <x:v>FIELD-001 | E4BL | Hazaribagh | Learning Material Distribution. Two student images. Caption recorded in the HSF in Action sheet.</x:v>
      </x:c>
    </x:row>
    <x:row r="15">
      <x:c r="A15" s="67" t="str">
        <x:v>Published core post — Day 1</x:v>
      </x:c>
      <x:c r="B15" s="12" t="str">
        <x:v>P01 — When Money Becomes a Barrier to Learning.</x:v>
      </x:c>
    </x:row>
    <x:row r="16">
      <x:c r="A16" s="67" t="str">
        <x:v>Evidence boundary</x:v>
      </x:c>
      <x:c r="B16" s="12" t="str">
        <x:v>Activity ≠ outcome. A photograph/activity record can verify that an activity occurred; it does not by itself verify learning, health, livelihood or longer-term impact.</x:v>
      </x:c>
    </x:row>
    <x:row r="17">
      <x:c r="A17" s="67" t="str">
        <x:v>A2PHC boundary</x:v>
      </x:c>
      <x:c r="B17" s="12" t="str">
        <x:v>Use consultation/service-delivery language consistent with current approved HSF practice. Do not present medicine support as a standard current service unless the specific activity is separately verified and approved.</x:v>
      </x:c>
    </x:row>
    <x:row r="18">
      <x:c r="A18" s="67" t="str">
        <x:v>Safeguarding</x:v>
      </x:c>
      <x:c r="B18" s="12" t="str">
        <x:v>For children, patients and vulnerable people: use consent-appropriate images, protect dignity/privacy, and never expose registers, prescriptions, medical records, phone numbers or unnecessary identifiers.</x:v>
      </x:c>
    </x:row>
    <x:row r="19">
      <x:c r="A19" s="67" t="str">
        <x:v>Observance rule</x:v>
      </x:c>
      <x:c r="B19" s="12" t="str">
        <x:v>OBS entries are planning opportunities. Verify the official date/theme/source and confirm genuine HSF relevance before publication.</x:v>
      </x:c>
    </x:row>
    <x:row r="20">
      <x:c r="A20" s="67" t="str">
        <x:v>Flexibility rule</x:v>
      </x:c>
      <x:c r="B20" s="12" t="str">
        <x:v>FIELD/MOMENT dates are editorial planning slots only. If the planned activity does not occur, replace it with another verified HSF activity or skip the morning slot; never stage or infer activity.</x:v>
      </x:c>
    </x:row>
    <x:row r="21">
      <x:c r="A21" s="67" t="str">
        <x:v>Tracker logic</x:v>
      </x:c>
      <x:c r="B21" s="12" t="str">
        <x:v>Morning and afternoon statuses are tracked separately. A day can remain valid when the core post is published and the morning overlay is intentionally skipped.</x:v>
      </x:c>
    </x:row>
    <x:row r="22">
      <x:c r="A22" s="67" t="str">
        <x:v>Scope note</x:v>
      </x:c>
      <x:c r="B22" s="12" t="str">
        <x:v>This workbook combines the locked P01–P48 core list, a 48-day HSF in Action idea bank, and an operational publication tracker. It does not convert proposed overlay ideas into verified activity records.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14" hidden="0" customWidth="1"/>
    <x:col min="3" max="3" width="14" hidden="0" customWidth="1"/>
    <x:col min="4" max="4" width="11" hidden="0" customWidth="1"/>
    <x:col min="5" max="5" width="20" hidden="0" customWidth="1"/>
    <x:col min="6" max="6" width="44" hidden="0" customWidth="1"/>
    <x:col min="7" max="7" width="28" hidden="0" customWidth="1"/>
    <x:col min="8" max="8" width="34" hidden="0" customWidth="1"/>
    <x:col min="9" max="9" width="38" hidden="0" customWidth="1"/>
    <x:col min="10" max="10" width="13" hidden="0" customWidth="1"/>
    <x:col min="11" max="11" width="52" hidden="0" customWidth="1"/>
    <x:col min="12" max="12" width="26" hidden="0" customWidth="1"/>
    <x:col min="13" max="13" width="26" hidden="0" customWidth="1"/>
  </x:cols>
  <x:sheetData>
    <x:row r="1" ht="38" customHeight="1">
      <x:c r="A1" s="36" t="str">
        <x:v>Day</x:v>
      </x:c>
      <x:c r="B1" s="36" t="str">
        <x:v>Date</x:v>
      </x:c>
      <x:c r="C1" s="36" t="str">
        <x:v>Overlay ID</x:v>
      </x:c>
      <x:c r="D1" s="36" t="str">
        <x:v>Category</x:v>
      </x:c>
      <x:c r="E1" s="36" t="str">
        <x:v>Programme / Area</x:v>
      </x:c>
      <x:c r="F1" s="36" t="str">
        <x:v>Post Idea / Angle</x:v>
      </x:c>
      <x:c r="G1" s="36" t="str">
        <x:v>Best Visual Treatment</x:v>
      </x:c>
      <x:c r="H1" s="36" t="str">
        <x:v>Evidence Requirement</x:v>
      </x:c>
      <x:c r="I1" s="36" t="str">
        <x:v>Safeguarding / Editorial Note</x:v>
      </x:c>
      <x:c r="J1" s="36" t="str">
        <x:v>Status</x:v>
      </x:c>
      <x:c r="K1" s="36" t="str">
        <x:v>Final Caption / Published Copy</x:v>
      </x:c>
      <x:c r="L1" s="36" t="str">
        <x:v>Post URL</x:v>
      </x:c>
      <x:c r="M1" s="36" t="str">
        <x:v>Notes</x:v>
      </x:c>
    </x:row>
    <x:row r="2">
      <x:c r="A2" s="54" t="n">
        <x:v>1</x:v>
      </x:c>
      <x:c r="B2" s="55" t="n">
        <x:v>46266</x:v>
      </x:c>
      <x:c r="C2" s="54" t="str">
        <x:v>FIELD-001</x:v>
      </x:c>
      <x:c r="D2" s="54" t="str">
        <x:v>FIELD</x:v>
      </x:c>
      <x:c r="E2" s="54" t="str">
        <x:v>E4BL</x:v>
      </x:c>
      <x:c r="F2" s="54" t="str">
        <x:v>Hazaribagh Center students received learning materials to support classroom activities.</x:v>
      </x:c>
      <x:c r="G2" s="54" t="str">
        <x:v>Two authentic photos of students holding learning materials and smiling.</x:v>
      </x:c>
      <x:c r="H2" s="54" t="str">
        <x:v>Published activity supplied by user; photographs available.</x:v>
      </x:c>
      <x:c r="I2" s="54" t="str">
        <x:v>Children: consent/privacy check; no names, registers or personal details visible.</x:v>
      </x:c>
      <x:c r="J2" s="54" t="str">
        <x:v>Published</x:v>
      </x:c>
      <x:c r="K2" s="54" t="str">
        <x:v>Students of Hazaribagh Center received learning materials to support their classroom activities. Their smiles say it all — sometimes a simple learning resource can make the school day a little brighter. 💚</x:v>
      </x:c>
      <x:c r="L2" s="54" t="str"/>
      <x:c r="M2" s="54" t="str">
        <x:v>Two student images published.</x:v>
      </x:c>
    </x:row>
    <x:row r="3">
      <x:c r="A3" s="58" t="n">
        <x:v>2</x:v>
      </x:c>
      <x:c r="B3" s="59" t="n">
        <x:v>46267</x:v>
      </x:c>
      <x:c r="C3" s="58" t="str">
        <x:v>MOMENT-001</x:v>
      </x:c>
      <x:c r="D3" s="58" t="str">
        <x:v>MOMENT</x:v>
      </x:c>
      <x:c r="E3" s="58" t="str">
        <x:v>E4BL</x:v>
      </x:c>
      <x:c r="F3" s="58" t="str">
        <x:v>Putting the new learning materials to use — students using the materials in ordinary classwork.</x:v>
      </x:c>
      <x:c r="G3" s="58" t="str">
        <x:v>1–2 candid classroom photos.</x:v>
      </x:c>
      <x:c r="H3" s="58" t="str">
        <x:v>Use only if current photos/observation are available.</x:v>
      </x:c>
      <x:c r="I3" s="58" t="str">
        <x:v>Keep it natural; do not claim improved performance from the activity.</x:v>
      </x:c>
      <x:c r="J3" s="58" t="str">
        <x:v>Next</x:v>
      </x:c>
      <x:c r="K3" s="58" t="str"/>
      <x:c r="L3" s="58" t="str"/>
      <x:c r="M3" s="58" t="str"/>
    </x:row>
    <x:row r="4">
      <x:c r="A4" s="54" t="n">
        <x:v>3</x:v>
      </x:c>
      <x:c r="B4" s="55" t="n">
        <x:v>46268</x:v>
      </x:c>
      <x:c r="C4" s="54" t="str">
        <x:v>FIELD-002</x:v>
      </x:c>
      <x:c r="D4" s="54" t="str">
        <x:v>FIELD</x:v>
      </x:c>
      <x:c r="E4" s="54" t="str">
        <x:v>E4BL</x:v>
      </x:c>
      <x:c r="F4" s="54" t="str">
        <x:v>A regular classroom morning — reading, writing and guided classwork at Hazaribagh or Uttara.</x:v>
      </x:c>
      <x:c r="G4" s="54" t="str">
        <x:v>3-photo mini-story.</x:v>
      </x:c>
      <x:c r="H4" s="54" t="str">
        <x:v>Current classroom activity/photo evidence required.</x:v>
      </x:c>
      <x:c r="I4" s="54" t="str">
        <x:v>Protect learner identities where appropriate; avoid registers.</x:v>
      </x:c>
      <x:c r="J4" s="54" t="str">
        <x:v>Planned</x:v>
      </x:c>
      <x:c r="K4" s="54" t="str"/>
      <x:c r="L4" s="54" t="str"/>
      <x:c r="M4" s="54" t="str"/>
    </x:row>
    <x:row r="5">
      <x:c r="A5" s="58" t="n">
        <x:v>4</x:v>
      </x:c>
      <x:c r="B5" s="59" t="n">
        <x:v>46269</x:v>
      </x:c>
      <x:c r="C5" s="58" t="str">
        <x:v>MOMENT-002</x:v>
      </x:c>
      <x:c r="D5" s="58" t="str">
        <x:v>MOMENT</x:v>
      </x:c>
      <x:c r="E5" s="58" t="str">
        <x:v>E4BL</x:v>
      </x:c>
      <x:c r="F5" s="58" t="str">
        <x:v>A student sharing what they understand with classmates or responding to a teacher.</x:v>
      </x:c>
      <x:c r="G5" s="58" t="str">
        <x:v>One strong human photo.</x:v>
      </x:c>
      <x:c r="H5" s="58" t="str">
        <x:v>Current classroom moment required.</x:v>
      </x:c>
      <x:c r="I5" s="58" t="str">
        <x:v>No unnecessary student name or background details.</x:v>
      </x:c>
      <x:c r="J5" s="58" t="str">
        <x:v>Planned</x:v>
      </x:c>
      <x:c r="K5" s="58" t="str"/>
      <x:c r="L5" s="58" t="str"/>
      <x:c r="M5" s="58" t="str"/>
    </x:row>
    <x:row r="6">
      <x:c r="A6" s="54" t="n">
        <x:v>5</x:v>
      </x:c>
      <x:c r="B6" s="55" t="n">
        <x:v>46270</x:v>
      </x:c>
      <x:c r="C6" s="54" t="str">
        <x:v>HSF-001</x:v>
      </x:c>
      <x:c r="D6" s="54" t="str">
        <x:v>HSF</x:v>
      </x:c>
      <x:c r="E6" s="54" t="str">
        <x:v>Institutional</x:v>
      </x:c>
      <x:c r="F6" s="54" t="str">
        <x:v>Behind the learning activity — teacher or staff preparing notebooks, lesson materials or classroom resources.</x:v>
      </x:c>
      <x:c r="G6" s="54" t="str">
        <x:v>Behind-the-scenes photo.</x:v>
      </x:c>
      <x:c r="H6" s="54" t="str">
        <x:v>Current preparation activity required.</x:v>
      </x:c>
      <x:c r="I6" s="54" t="str">
        <x:v>Keep caption about preparation/support, not outcomes.</x:v>
      </x:c>
      <x:c r="J6" s="54" t="str">
        <x:v>Planned</x:v>
      </x:c>
      <x:c r="K6" s="54" t="str"/>
      <x:c r="L6" s="54" t="str"/>
      <x:c r="M6" s="54" t="str"/>
    </x:row>
    <x:row r="7">
      <x:c r="A7" s="58" t="n">
        <x:v>6</x:v>
      </x:c>
      <x:c r="B7" s="59" t="n">
        <x:v>46271</x:v>
      </x:c>
      <x:c r="C7" s="58" t="str">
        <x:v>FIELD-003</x:v>
      </x:c>
      <x:c r="D7" s="58" t="str">
        <x:v>FIELD</x:v>
      </x:c>
      <x:c r="E7" s="58" t="str">
        <x:v>A2PHC</x:v>
      </x:c>
      <x:c r="F7" s="58" t="str">
        <x:v>Before a medical camp begins — team setup, consultation space and preparation.</x:v>
      </x:c>
      <x:c r="G7" s="58" t="str">
        <x:v>Wide photo of service setup.</x:v>
      </x:c>
      <x:c r="H7" s="58" t="str">
        <x:v>Current camp record/photo required.</x:v>
      </x:c>
      <x:c r="I7" s="58" t="str">
        <x:v>No patient records, prescriptions, names or identifiable clinical details.</x:v>
      </x:c>
      <x:c r="J7" s="58" t="str">
        <x:v>Planned</x:v>
      </x:c>
      <x:c r="K7" s="58" t="str"/>
      <x:c r="L7" s="58" t="str"/>
      <x:c r="M7" s="58" t="str"/>
    </x:row>
    <x:row r="8">
      <x:c r="A8" s="54" t="n">
        <x:v>7</x:v>
      </x:c>
      <x:c r="B8" s="55" t="n">
        <x:v>46272</x:v>
      </x:c>
      <x:c r="C8" s="54" t="str">
        <x:v>MOMENT-003</x:v>
      </x:c>
      <x:c r="D8" s="54" t="str">
        <x:v>MOMENT</x:v>
      </x:c>
      <x:c r="E8" s="54" t="str">
        <x:v>A2PHC</x:v>
      </x:c>
      <x:c r="F8" s="54" t="str">
        <x:v>A doctor listening — respectful consultation environment showing human interaction.</x:v>
      </x:c>
      <x:c r="G8" s="54" t="str">
        <x:v>Safe wide or side-angle photo.</x:v>
      </x:c>
      <x:c r="H8" s="54" t="str">
        <x:v>Current consultation activity required.</x:v>
      </x:c>
      <x:c r="I8" s="54" t="str">
        <x:v>Patient privacy is mandatory; avoid clinical claims.</x:v>
      </x:c>
      <x:c r="J8" s="54" t="str">
        <x:v>Planned</x:v>
      </x:c>
      <x:c r="K8" s="54" t="str"/>
      <x:c r="L8" s="54" t="str"/>
      <x:c r="M8" s="54" t="str"/>
    </x:row>
    <x:row r="9">
      <x:c r="A9" s="58" t="n">
        <x:v>8</x:v>
      </x:c>
      <x:c r="B9" s="59" t="n">
        <x:v>46273</x:v>
      </x:c>
      <x:c r="C9" s="58" t="str">
        <x:v>OBS-001</x:v>
      </x:c>
      <x:c r="D9" s="58" t="str">
        <x:v>OBS</x:v>
      </x:c>
      <x:c r="E9" s="58" t="str">
        <x:v>E4BL</x:v>
      </x:c>
      <x:c r="F9" s="58" t="str">
        <x:v>International Literacy Day — connect literacy with everyday learning and education continuity.</x:v>
      </x:c>
      <x:c r="G9" s="58" t="str">
        <x:v>Authentic E4BL photo with minimal observance treatment.</x:v>
      </x:c>
      <x:c r="H9" s="58" t="str">
        <x:v>Verify official observance date/source before publication; link to current E4BL reality.</x:v>
      </x:c>
      <x:c r="I9" s="58" t="str">
        <x:v>Avoid generic greeting-card language.</x:v>
      </x:c>
      <x:c r="J9" s="58" t="str">
        <x:v>Planned</x:v>
      </x:c>
      <x:c r="K9" s="58" t="str"/>
      <x:c r="L9" s="58" t="str"/>
      <x:c r="M9" s="58" t="str"/>
    </x:row>
    <x:row r="10">
      <x:c r="A10" s="54" t="n">
        <x:v>9</x:v>
      </x:c>
      <x:c r="B10" s="55" t="n">
        <x:v>46274</x:v>
      </x:c>
      <x:c r="C10" s="54" t="str">
        <x:v>FIELD-004</x:v>
      </x:c>
      <x:c r="D10" s="54" t="str">
        <x:v>FIELD</x:v>
      </x:c>
      <x:c r="E10" s="54" t="str">
        <x:v>E4BL</x:v>
      </x:c>
      <x:c r="F10" s="54" t="str">
        <x:v>Guardian–school communication — guardian meeting or teacher-parent discussion.</x:v>
      </x:c>
      <x:c r="G10" s="54" t="str">
        <x:v>Group/discussion photos.</x:v>
      </x:c>
      <x:c r="H10" s="54" t="str">
        <x:v>Use only if a current meeting occurs and is documented.</x:v>
      </x:c>
      <x:c r="I10" s="54" t="str">
        <x:v>Do not disclose individual learner problems or family details.</x:v>
      </x:c>
      <x:c r="J10" s="54" t="str">
        <x:v>Planned</x:v>
      </x:c>
      <x:c r="K10" s="54" t="str"/>
      <x:c r="L10" s="54" t="str"/>
      <x:c r="M10" s="54" t="str"/>
    </x:row>
    <x:row r="11">
      <x:c r="A11" s="58" t="n">
        <x:v>10</x:v>
      </x:c>
      <x:c r="B11" s="59" t="n">
        <x:v>46275</x:v>
      </x:c>
      <x:c r="C11" s="58" t="str">
        <x:v>MOMENT-004</x:v>
      </x:c>
      <x:c r="D11" s="58" t="str">
        <x:v>MOMENT</x:v>
      </x:c>
      <x:c r="E11" s="58" t="str">
        <x:v>E4BL</x:v>
      </x:c>
      <x:c r="F11" s="58" t="str">
        <x:v>Learning does not always need expensive tools — children doing ordinary classwork with simple materials.</x:v>
      </x:c>
      <x:c r="G11" s="58" t="str">
        <x:v>One natural classroom photo.</x:v>
      </x:c>
      <x:c r="H11" s="58" t="str">
        <x:v>Current classroom photo required.</x:v>
      </x:c>
      <x:c r="I11" s="58" t="str">
        <x:v>Do not repeat the core post wording; keep it activity-focused.</x:v>
      </x:c>
      <x:c r="J11" s="58" t="str">
        <x:v>Planned</x:v>
      </x:c>
      <x:c r="K11" s="58" t="str"/>
      <x:c r="L11" s="58" t="str"/>
      <x:c r="M11" s="58" t="str"/>
    </x:row>
    <x:row r="12">
      <x:c r="A12" s="54" t="n">
        <x:v>11</x:v>
      </x:c>
      <x:c r="B12" s="55" t="n">
        <x:v>46276</x:v>
      </x:c>
      <x:c r="C12" s="54" t="str">
        <x:v>FIELD-005</x:v>
      </x:c>
      <x:c r="D12" s="54" t="str">
        <x:v>FIELD</x:v>
      </x:c>
      <x:c r="E12" s="54" t="str">
        <x:v>E4BL</x:v>
      </x:c>
      <x:c r="F12" s="54" t="str">
        <x:v>Healthy habits at school — hygiene learning or handwashing practice.</x:v>
      </x:c>
      <x:c r="G12" s="54" t="str">
        <x:v>2–3 activity photos.</x:v>
      </x:c>
      <x:c r="H12" s="54" t="str">
        <x:v>Current verified hygiene activity required.</x:v>
      </x:c>
      <x:c r="I12" s="54" t="str">
        <x:v>Children: consent/privacy check.</x:v>
      </x:c>
      <x:c r="J12" s="54" t="str">
        <x:v>Planned</x:v>
      </x:c>
      <x:c r="K12" s="54" t="str"/>
      <x:c r="L12" s="54" t="str"/>
      <x:c r="M12" s="54" t="str"/>
    </x:row>
    <x:row r="13">
      <x:c r="A13" s="58" t="n">
        <x:v>12</x:v>
      </x:c>
      <x:c r="B13" s="59" t="n">
        <x:v>46277</x:v>
      </x:c>
      <x:c r="C13" s="58" t="str">
        <x:v>MOMENT-005</x:v>
      </x:c>
      <x:c r="D13" s="58" t="str">
        <x:v>MOMENT</x:v>
      </x:c>
      <x:c r="E13" s="58" t="str">
        <x:v>E4BL</x:v>
      </x:c>
      <x:c r="F13" s="58" t="str">
        <x:v>Creativity in the classroom — drawing, artwork, handwriting or another creative exercise.</x:v>
      </x:c>
      <x:c r="G13" s="58" t="str">
        <x:v>One colourful activity photo.</x:v>
      </x:c>
      <x:c r="H13" s="58" t="str">
        <x:v>Current creative activity required.</x:v>
      </x:c>
      <x:c r="I13" s="58" t="str">
        <x:v>Focus on participation, not ranking unless an event result is verified.</x:v>
      </x:c>
      <x:c r="J13" s="58" t="str">
        <x:v>Planned</x:v>
      </x:c>
      <x:c r="K13" s="58" t="str"/>
      <x:c r="L13" s="58" t="str"/>
      <x:c r="M13" s="58" t="str"/>
    </x:row>
    <x:row r="14">
      <x:c r="A14" s="54" t="n">
        <x:v>13</x:v>
      </x:c>
      <x:c r="B14" s="55" t="n">
        <x:v>46278</x:v>
      </x:c>
      <x:c r="C14" s="54" t="str">
        <x:v>FIELD-006</x:v>
      </x:c>
      <x:c r="D14" s="54" t="str">
        <x:v>FIELD</x:v>
      </x:c>
      <x:c r="E14" s="54" t="str">
        <x:v>A2PHC</x:v>
      </x:c>
      <x:c r="F14" s="54" t="str">
        <x:v>Primary healthcare closer to the community — show an actual camp location and consultation setting.</x:v>
      </x:c>
      <x:c r="G14" s="54" t="str">
        <x:v>3-photo documentary set.</x:v>
      </x:c>
      <x:c r="H14" s="54" t="str">
        <x:v>Current camp evidence required.</x:v>
      </x:c>
      <x:c r="I14" s="54" t="str">
        <x:v>Describe consultation/service access only; do not imply treatment/recovery.</x:v>
      </x:c>
      <x:c r="J14" s="54" t="str">
        <x:v>Planned</x:v>
      </x:c>
      <x:c r="K14" s="54" t="str"/>
      <x:c r="L14" s="54" t="str"/>
      <x:c r="M14" s="54" t="str"/>
    </x:row>
    <x:row r="15">
      <x:c r="A15" s="58" t="n">
        <x:v>14</x:v>
      </x:c>
      <x:c r="B15" s="59" t="n">
        <x:v>46279</x:v>
      </x:c>
      <x:c r="C15" s="58" t="str">
        <x:v>MOMENT-006</x:v>
      </x:c>
      <x:c r="D15" s="58" t="str">
        <x:v>MOMENT</x:v>
      </x:c>
      <x:c r="E15" s="58" t="str">
        <x:v>A2PHC</x:v>
      </x:c>
      <x:c r="F15" s="58" t="str">
        <x:v>The people behind a health camp — doctor and field team arranging the service area.</x:v>
      </x:c>
      <x:c r="G15" s="58" t="str">
        <x:v>Team-preparation photo.</x:v>
      </x:c>
      <x:c r="H15" s="58" t="str">
        <x:v>Current camp preparation required.</x:v>
      </x:c>
      <x:c r="I15" s="58" t="str">
        <x:v>No patient information in frame.</x:v>
      </x:c>
      <x:c r="J15" s="58" t="str">
        <x:v>Planned</x:v>
      </x:c>
      <x:c r="K15" s="58" t="str"/>
      <x:c r="L15" s="58" t="str"/>
      <x:c r="M15" s="58" t="str"/>
    </x:row>
    <x:row r="16">
      <x:c r="A16" s="54" t="n">
        <x:v>15</x:v>
      </x:c>
      <x:c r="B16" s="55" t="n">
        <x:v>46280</x:v>
      </x:c>
      <x:c r="C16" s="54" t="str">
        <x:v>FIELD-007</x:v>
      </x:c>
      <x:c r="D16" s="54" t="str">
        <x:v>FIELD</x:v>
      </x:c>
      <x:c r="E16" s="54" t="str">
        <x:v>A2PHC</x:v>
      </x:c>
      <x:c r="F16" s="54" t="str">
        <x:v>Community health awareness in simple language — discussion on care-seeking or healthy practices.</x:v>
      </x:c>
      <x:c r="G16" s="54" t="str">
        <x:v>Group-awareness photo.</x:v>
      </x:c>
      <x:c r="H16" s="54" t="str">
        <x:v>Current awareness session required.</x:v>
      </x:c>
      <x:c r="I16" s="54" t="str">
        <x:v>Technical messages should be checked; no unsupported medical advice.</x:v>
      </x:c>
      <x:c r="J16" s="54" t="str">
        <x:v>Planned</x:v>
      </x:c>
      <x:c r="K16" s="54" t="str"/>
      <x:c r="L16" s="54" t="str"/>
      <x:c r="M16" s="54" t="str"/>
    </x:row>
    <x:row r="17">
      <x:c r="A17" s="58" t="n">
        <x:v>16</x:v>
      </x:c>
      <x:c r="B17" s="59" t="n">
        <x:v>46281</x:v>
      </x:c>
      <x:c r="C17" s="58" t="str">
        <x:v>MOMENT-007</x:v>
      </x:c>
      <x:c r="D17" s="58" t="str">
        <x:v>MOMENT</x:v>
      </x:c>
      <x:c r="E17" s="58" t="str">
        <x:v>A2PHC</x:v>
      </x:c>
      <x:c r="F17" s="58" t="str">
        <x:v>Listening is part of good healthcare — a dignified doctor/community interaction.</x:v>
      </x:c>
      <x:c r="G17" s="58" t="str">
        <x:v>One strong photograph.</x:v>
      </x:c>
      <x:c r="H17" s="58" t="str">
        <x:v>Current safe consultation photo required.</x:v>
      </x:c>
      <x:c r="I17" s="58" t="str">
        <x:v>No diagnosis, prescription or patient story without specific approval.</x:v>
      </x:c>
      <x:c r="J17" s="58" t="str">
        <x:v>Planned</x:v>
      </x:c>
      <x:c r="K17" s="58" t="str"/>
      <x:c r="L17" s="58" t="str"/>
      <x:c r="M17" s="58" t="str"/>
    </x:row>
    <x:row r="18">
      <x:c r="A18" s="54" t="n">
        <x:v>17</x:v>
      </x:c>
      <x:c r="B18" s="55" t="n">
        <x:v>46282</x:v>
      </x:c>
      <x:c r="C18" s="54" t="str">
        <x:v>FIELD-008</x:v>
      </x:c>
      <x:c r="D18" s="54" t="str">
        <x:v>FIELD</x:v>
      </x:c>
      <x:c r="E18" s="54" t="str">
        <x:v>A2PHC</x:v>
      </x:c>
      <x:c r="F18" s="54" t="str">
        <x:v>A community or yard meeting with women or families.</x:v>
      </x:c>
      <x:c r="G18" s="54" t="str">
        <x:v>Group photo from respectful distance.</x:v>
      </x:c>
      <x:c r="H18" s="54" t="str">
        <x:v>Use only if a current meeting occurs and is documented.</x:v>
      </x:c>
      <x:c r="I18" s="54" t="str">
        <x:v>Safeguard women/adolescents; avoid sensitive personal health details.</x:v>
      </x:c>
      <x:c r="J18" s="54" t="str">
        <x:v>Planned</x:v>
      </x:c>
      <x:c r="K18" s="54" t="str"/>
      <x:c r="L18" s="54" t="str"/>
      <x:c r="M18" s="54" t="str"/>
    </x:row>
    <x:row r="19">
      <x:c r="A19" s="58" t="n">
        <x:v>18</x:v>
      </x:c>
      <x:c r="B19" s="59" t="n">
        <x:v>46283</x:v>
      </x:c>
      <x:c r="C19" s="58" t="str">
        <x:v>MOMENT-008</x:v>
      </x:c>
      <x:c r="D19" s="58" t="str">
        <x:v>MOMENT</x:v>
      </x:c>
      <x:c r="E19" s="58" t="str">
        <x:v>A2PHC</x:v>
      </x:c>
      <x:c r="F19" s="58" t="str">
        <x:v>One health message, explained clearly — staff using a poster, flipchart or conversation.</x:v>
      </x:c>
      <x:c r="G19" s="58" t="str">
        <x:v>Single instructional image.</x:v>
      </x:c>
      <x:c r="H19" s="58" t="str">
        <x:v>Current awareness activity required.</x:v>
      </x:c>
      <x:c r="I19" s="58" t="str">
        <x:v>Verify the health message before publication.</x:v>
      </x:c>
      <x:c r="J19" s="58" t="str">
        <x:v>Planned</x:v>
      </x:c>
      <x:c r="K19" s="58" t="str"/>
      <x:c r="L19" s="58" t="str"/>
      <x:c r="M19" s="58" t="str"/>
    </x:row>
    <x:row r="20">
      <x:c r="A20" s="54" t="n">
        <x:v>19</x:v>
      </x:c>
      <x:c r="B20" s="55" t="n">
        <x:v>46284</x:v>
      </x:c>
      <x:c r="C20" s="54" t="str">
        <x:v>FIELD-009</x:v>
      </x:c>
      <x:c r="D20" s="54" t="str">
        <x:v>FIELD</x:v>
      </x:c>
      <x:c r="E20" s="54" t="str">
        <x:v>E4BL</x:v>
      </x:c>
      <x:c r="F20" s="54" t="str">
        <x:v>A clean learning environment — school hygiene activity or children practising healthy routines.</x:v>
      </x:c>
      <x:c r="G20" s="54" t="str">
        <x:v>Activity photo set.</x:v>
      </x:c>
      <x:c r="H20" s="54" t="str">
        <x:v>Current activity evidence required.</x:v>
      </x:c>
      <x:c r="I20" s="54" t="str">
        <x:v>Do not stage unsafe or humiliating imagery.</x:v>
      </x:c>
      <x:c r="J20" s="54" t="str">
        <x:v>Planned</x:v>
      </x:c>
      <x:c r="K20" s="54" t="str"/>
      <x:c r="L20" s="54" t="str"/>
      <x:c r="M20" s="54" t="str"/>
    </x:row>
    <x:row r="21">
      <x:c r="A21" s="58" t="n">
        <x:v>20</x:v>
      </x:c>
      <x:c r="B21" s="59" t="n">
        <x:v>46285</x:v>
      </x:c>
      <x:c r="C21" s="58" t="str">
        <x:v>MOMENT-009</x:v>
      </x:c>
      <x:c r="D21" s="58" t="str">
        <x:v>MOMENT</x:v>
      </x:c>
      <x:c r="E21" s="58" t="str">
        <x:v>E4BL</x:v>
      </x:c>
      <x:c r="F21" s="58" t="str">
        <x:v>A small healthy habit learned early — authentic handwashing or hygiene moment.</x:v>
      </x:c>
      <x:c r="G21" s="58" t="str">
        <x:v>One child/group activity image.</x:v>
      </x:c>
      <x:c r="H21" s="58" t="str">
        <x:v>Current hygiene activity required.</x:v>
      </x:c>
      <x:c r="I21" s="58" t="str">
        <x:v>Children: consent/privacy check.</x:v>
      </x:c>
      <x:c r="J21" s="58" t="str">
        <x:v>Planned</x:v>
      </x:c>
      <x:c r="K21" s="58" t="str"/>
      <x:c r="L21" s="58" t="str"/>
      <x:c r="M21" s="58" t="str"/>
    </x:row>
    <x:row r="22">
      <x:c r="A22" s="54" t="n">
        <x:v>21</x:v>
      </x:c>
      <x:c r="B22" s="55" t="n">
        <x:v>46286</x:v>
      </x:c>
      <x:c r="C22" s="54" t="str">
        <x:v>OBS-002</x:v>
      </x:c>
      <x:c r="D22" s="54" t="str">
        <x:v>OBS</x:v>
      </x:c>
      <x:c r="E22" s="54" t="str">
        <x:v>Rights / Community</x:v>
      </x:c>
      <x:c r="F22" s="54" t="str">
        <x:v>International Day of Peace — connect peace with respect, listening, inclusion and everyday relationships.</x:v>
      </x:c>
      <x:c r="G22" s="54" t="str">
        <x:v>Group learning/activity photo.</x:v>
      </x:c>
      <x:c r="H22" s="54" t="str">
        <x:v>Verify official observance date/source before publication.</x:v>
      </x:c>
      <x:c r="I22" s="54" t="str">
        <x:v>Keep message relevant to HSF values and real community life.</x:v>
      </x:c>
      <x:c r="J22" s="54" t="str">
        <x:v>Planned</x:v>
      </x:c>
      <x:c r="K22" s="54" t="str"/>
      <x:c r="L22" s="54" t="str"/>
      <x:c r="M22" s="54" t="str"/>
    </x:row>
    <x:row r="23">
      <x:c r="A23" s="58" t="n">
        <x:v>22</x:v>
      </x:c>
      <x:c r="B23" s="59" t="n">
        <x:v>46287</x:v>
      </x:c>
      <x:c r="C23" s="58" t="str">
        <x:v>FIELD-010</x:v>
      </x:c>
      <x:c r="D23" s="58" t="str">
        <x:v>FIELD</x:v>
      </x:c>
      <x:c r="E23" s="58" t="str">
        <x:v>Women / A2PHC</x:v>
      </x:c>
      <x:c r="F23" s="58" t="str">
        <x:v>Menstrual health and hygiene education where an actual session occurs.</x:v>
      </x:c>
      <x:c r="G23" s="58" t="str">
        <x:v>Safe group/activity photo.</x:v>
      </x:c>
      <x:c r="H23" s="58" t="str">
        <x:v>Current session evidence required.</x:v>
      </x:c>
      <x:c r="I23" s="58" t="str">
        <x:v>Privacy and dignity are mandatory; do not identify individual participants.</x:v>
      </x:c>
      <x:c r="J23" s="58" t="str">
        <x:v>Planned</x:v>
      </x:c>
      <x:c r="K23" s="58" t="str"/>
      <x:c r="L23" s="58" t="str"/>
      <x:c r="M23" s="58" t="str"/>
    </x:row>
    <x:row r="24">
      <x:c r="A24" s="54" t="n">
        <x:v>23</x:v>
      </x:c>
      <x:c r="B24" s="55" t="n">
        <x:v>46288</x:v>
      </x:c>
      <x:c r="C24" s="54" t="str">
        <x:v>FIELD-011</x:v>
      </x:c>
      <x:c r="D24" s="54" t="str">
        <x:v>FIELD</x:v>
      </x:c>
      <x:c r="E24" s="54" t="str">
        <x:v>Climate Action</x:v>
      </x:c>
      <x:c r="F24" s="54" t="str">
        <x:v>Young people talking about climate change — an HSF youth dialogue or awareness session.</x:v>
      </x:c>
      <x:c r="G24" s="54" t="str">
        <x:v>Discussion-circle photos.</x:v>
      </x:c>
      <x:c r="H24" s="54" t="str">
        <x:v>Current HSF climate activity required.</x:v>
      </x:c>
      <x:c r="I24" s="54" t="str">
        <x:v>Do not imply programme results beyond the documented session.</x:v>
      </x:c>
      <x:c r="J24" s="54" t="str">
        <x:v>Planned</x:v>
      </x:c>
      <x:c r="K24" s="54" t="str"/>
      <x:c r="L24" s="54" t="str"/>
      <x:c r="M24" s="54" t="str"/>
    </x:row>
    <x:row r="25">
      <x:c r="A25" s="58" t="n">
        <x:v>24</x:v>
      </x:c>
      <x:c r="B25" s="59" t="n">
        <x:v>46289</x:v>
      </x:c>
      <x:c r="C25" s="58" t="str">
        <x:v>MOMENT-010</x:v>
      </x:c>
      <x:c r="D25" s="58" t="str">
        <x:v>MOMENT</x:v>
      </x:c>
      <x:c r="E25" s="58" t="str">
        <x:v>Climate Action</x:v>
      </x:c>
      <x:c r="F25" s="58" t="str">
        <x:v>A young voice on climate action — one participant contributing an idea during a session.</x:v>
      </x:c>
      <x:c r="G25" s="58" t="str">
        <x:v>One candid speaking/listening photo.</x:v>
      </x:c>
      <x:c r="H25" s="58" t="str">
        <x:v>Current climate session required.</x:v>
      </x:c>
      <x:c r="I25" s="58" t="str">
        <x:v>Use consent-appropriate imagery.</x:v>
      </x:c>
      <x:c r="J25" s="58" t="str">
        <x:v>Planned</x:v>
      </x:c>
      <x:c r="K25" s="58" t="str"/>
      <x:c r="L25" s="58" t="str"/>
      <x:c r="M25" s="58" t="str"/>
    </x:row>
    <x:row r="26">
      <x:c r="A26" s="54" t="n">
        <x:v>25</x:v>
      </x:c>
      <x:c r="B26" s="55" t="n">
        <x:v>46290</x:v>
      </x:c>
      <x:c r="C26" s="54" t="str">
        <x:v>FIELD-012</x:v>
      </x:c>
      <x:c r="D26" s="54" t="str">
        <x:v>FIELD</x:v>
      </x:c>
      <x:c r="E26" s="54" t="str">
        <x:v>Climate Action</x:v>
      </x:c>
      <x:c r="F26" s="54" t="str">
        <x:v>Community resilience conversation — flood, rain, heat or another locally relevant climate risk.</x:v>
      </x:c>
      <x:c r="G26" s="54" t="str">
        <x:v>Community discussion photos.</x:v>
      </x:c>
      <x:c r="H26" s="54" t="str">
        <x:v>Current activity/location evidence required.</x:v>
      </x:c>
      <x:c r="I26" s="54" t="str">
        <x:v>Keep risk statements locally grounded and evidence-safe.</x:v>
      </x:c>
      <x:c r="J26" s="54" t="str">
        <x:v>Planned</x:v>
      </x:c>
      <x:c r="K26" s="54" t="str"/>
      <x:c r="L26" s="54" t="str"/>
      <x:c r="M26" s="54" t="str"/>
    </x:row>
    <x:row r="27">
      <x:c r="A27" s="58" t="n">
        <x:v>26</x:v>
      </x:c>
      <x:c r="B27" s="59" t="n">
        <x:v>46291</x:v>
      </x:c>
      <x:c r="C27" s="58" t="str">
        <x:v>MOMENT-011</x:v>
      </x:c>
      <x:c r="D27" s="58" t="str">
        <x:v>MOMENT</x:v>
      </x:c>
      <x:c r="E27" s="58" t="str">
        <x:v>Climate Action</x:v>
      </x:c>
      <x:c r="F27" s="58" t="str">
        <x:v>Looking at climate risk locally — field or community observation around the local environment.</x:v>
      </x:c>
      <x:c r="G27" s="58" t="str">
        <x:v>Landscape plus people.</x:v>
      </x:c>
      <x:c r="H27" s="58" t="str">
        <x:v>Current field activity required.</x:v>
      </x:c>
      <x:c r="I27" s="58" t="str">
        <x:v>Avoid presenting observation as technical assessment unless verified.</x:v>
      </x:c>
      <x:c r="J27" s="58" t="str">
        <x:v>Planned</x:v>
      </x:c>
      <x:c r="K27" s="58" t="str"/>
      <x:c r="L27" s="58" t="str"/>
      <x:c r="M27" s="58" t="str"/>
    </x:row>
    <x:row r="28">
      <x:c r="A28" s="54" t="n">
        <x:v>27</x:v>
      </x:c>
      <x:c r="B28" s="55" t="n">
        <x:v>46292</x:v>
      </x:c>
      <x:c r="C28" s="54" t="str">
        <x:v>FIELD-013</x:v>
      </x:c>
      <x:c r="D28" s="54" t="str">
        <x:v>FIELD</x:v>
      </x:c>
      <x:c r="E28" s="54" t="str">
        <x:v>Climate Action</x:v>
      </x:c>
      <x:c r="F28" s="54" t="str">
        <x:v>Tree care as climate action — planting or caring for trees where a verified HSF activity is occurring.</x:v>
      </x:c>
      <x:c r="G28" s="54" t="str">
        <x:v>Photo sequence.</x:v>
      </x:c>
      <x:c r="H28" s="54" t="str">
        <x:v>Current HSF tree activity required.</x:v>
      </x:c>
      <x:c r="I28" s="54" t="str">
        <x:v>Do not use old photos as if current; state date/location accurately.</x:v>
      </x:c>
      <x:c r="J28" s="54" t="str">
        <x:v>Planned</x:v>
      </x:c>
      <x:c r="K28" s="54" t="str"/>
      <x:c r="L28" s="54" t="str"/>
      <x:c r="M28" s="54" t="str"/>
    </x:row>
    <x:row r="29">
      <x:c r="A29" s="58" t="n">
        <x:v>28</x:v>
      </x:c>
      <x:c r="B29" s="59" t="n">
        <x:v>46293</x:v>
      </x:c>
      <x:c r="C29" s="58" t="str">
        <x:v>MOMENT-012</x:v>
      </x:c>
      <x:c r="D29" s="58" t="str">
        <x:v>MOMENT</x:v>
      </x:c>
      <x:c r="E29" s="58" t="str">
        <x:v>Climate Action</x:v>
      </x:c>
      <x:c r="F29" s="58" t="str">
        <x:v>One small environmental action — a young person or community member caring for a tree/local environment.</x:v>
      </x:c>
      <x:c r="G29" s="58" t="str">
        <x:v>One human-centred photo.</x:v>
      </x:c>
      <x:c r="H29" s="58" t="str">
        <x:v>Current activity photo required.</x:v>
      </x:c>
      <x:c r="I29" s="58" t="str">
        <x:v>Keep the claim proportional to the visible action.</x:v>
      </x:c>
      <x:c r="J29" s="58" t="str">
        <x:v>Planned</x:v>
      </x:c>
      <x:c r="K29" s="58" t="str"/>
      <x:c r="L29" s="58" t="str"/>
      <x:c r="M29" s="58" t="str"/>
    </x:row>
    <x:row r="30">
      <x:c r="A30" s="54" t="n">
        <x:v>29</x:v>
      </x:c>
      <x:c r="B30" s="55" t="n">
        <x:v>46294</x:v>
      </x:c>
      <x:c r="C30" s="54" t="str">
        <x:v>FIELD-014</x:v>
      </x:c>
      <x:c r="D30" s="54" t="str">
        <x:v>FIELD</x:v>
      </x:c>
      <x:c r="E30" s="54" t="str">
        <x:v>Climate / Livelihood</x:v>
      </x:c>
      <x:c r="F30" s="54" t="str">
        <x:v>Climate-friendly farming support — cultivation guidance, farmer discussion or seed-related activity.</x:v>
      </x:c>
      <x:c r="G30" s="54" t="str">
        <x:v>Farmer/field photographs.</x:v>
      </x:c>
      <x:c r="H30" s="54" t="str">
        <x:v>Use only when current activity is verified.</x:v>
      </x:c>
      <x:c r="I30" s="54" t="str">
        <x:v>Do not imply income or yield improvement without evidence.</x:v>
      </x:c>
      <x:c r="J30" s="54" t="str">
        <x:v>Planned</x:v>
      </x:c>
      <x:c r="K30" s="54" t="str"/>
      <x:c r="L30" s="54" t="str"/>
      <x:c r="M30" s="54" t="str"/>
    </x:row>
    <x:row r="31">
      <x:c r="A31" s="58" t="n">
        <x:v>30</x:v>
      </x:c>
      <x:c r="B31" s="59" t="n">
        <x:v>46295</x:v>
      </x:c>
      <x:c r="C31" s="58" t="str">
        <x:v>MOMENT-013</x:v>
      </x:c>
      <x:c r="D31" s="58" t="str">
        <x:v>MOMENT</x:v>
      </x:c>
      <x:c r="E31" s="58" t="str">
        <x:v>Livelihood / Climate</x:v>
      </x:c>
      <x:c r="F31" s="58" t="str">
        <x:v>A conversation in the field — HSF interacting with a farmer about practical cultivation issues.</x:v>
      </x:c>
      <x:c r="G31" s="58" t="str">
        <x:v>One contextual field photo.</x:v>
      </x:c>
      <x:c r="H31" s="58" t="str">
        <x:v>Current activity required.</x:v>
      </x:c>
      <x:c r="I31" s="58" t="str">
        <x:v>No unsupported agronomic or livelihood outcome claim.</x:v>
      </x:c>
      <x:c r="J31" s="58" t="str">
        <x:v>Planned</x:v>
      </x:c>
      <x:c r="K31" s="58" t="str"/>
      <x:c r="L31" s="58" t="str"/>
      <x:c r="M31" s="58" t="str"/>
    </x:row>
    <x:row r="32">
      <x:c r="A32" s="54" t="n">
        <x:v>31</x:v>
      </x:c>
      <x:c r="B32" s="55" t="n">
        <x:v>46296</x:v>
      </x:c>
      <x:c r="C32" s="54" t="str">
        <x:v>FIELD-015</x:v>
      </x:c>
      <x:c r="D32" s="54" t="str">
        <x:v>FIELD</x:v>
      </x:c>
      <x:c r="E32" s="54" t="str">
        <x:v>E4BL</x:v>
      </x:c>
      <x:c r="F32" s="54" t="str">
        <x:v>Nutrition and learning — healthy food or nutrition support at school if actually provided.</x:v>
      </x:c>
      <x:c r="G32" s="54" t="str">
        <x:v>Food/activity photos.</x:v>
      </x:c>
      <x:c r="H32" s="54" t="str">
        <x:v>Use only if current provision/activity is verified.</x:v>
      </x:c>
      <x:c r="I32" s="54" t="str">
        <x:v>Avoid implying medical/nutritional outcomes.</x:v>
      </x:c>
      <x:c r="J32" s="54" t="str">
        <x:v>Planned</x:v>
      </x:c>
      <x:c r="K32" s="54" t="str"/>
      <x:c r="L32" s="54" t="str"/>
      <x:c r="M32" s="54" t="str"/>
    </x:row>
    <x:row r="33">
      <x:c r="A33" s="58" t="n">
        <x:v>32</x:v>
      </x:c>
      <x:c r="B33" s="59" t="n">
        <x:v>46297</x:v>
      </x:c>
      <x:c r="C33" s="58" t="str">
        <x:v>HSF-002</x:v>
      </x:c>
      <x:c r="D33" s="58" t="str">
        <x:v>HSF</x:v>
      </x:c>
      <x:c r="E33" s="58" t="str">
        <x:v>Institutional</x:v>
      </x:c>
      <x:c r="F33" s="58" t="str">
        <x:v>People preparing HSF's work — staff or volunteers organizing an education, health or community activity.</x:v>
      </x:c>
      <x:c r="G33" s="58" t="str">
        <x:v>Behind-the-scenes team photo.</x:v>
      </x:c>
      <x:c r="H33" s="58" t="str">
        <x:v>Current preparation activity required.</x:v>
      </x:c>
      <x:c r="I33" s="58" t="str">
        <x:v>Do not expose internal sensitive documents.</x:v>
      </x:c>
      <x:c r="J33" s="58" t="str">
        <x:v>Planned</x:v>
      </x:c>
      <x:c r="K33" s="58" t="str"/>
      <x:c r="L33" s="58" t="str"/>
      <x:c r="M33" s="58" t="str"/>
    </x:row>
    <x:row r="34">
      <x:c r="A34" s="54" t="n">
        <x:v>33</x:v>
      </x:c>
      <x:c r="B34" s="55" t="n">
        <x:v>46298</x:v>
      </x:c>
      <x:c r="C34" s="54" t="str">
        <x:v>FIELD-016</x:v>
      </x:c>
      <x:c r="D34" s="54" t="str">
        <x:v>FIELD</x:v>
      </x:c>
      <x:c r="E34" s="54" t="str">
        <x:v>Livelihood</x:v>
      </x:c>
      <x:c r="F34" s="54" t="str">
        <x:v>Supporting livelihoods through practical knowledge — farmer guidance or another verified livelihood-support activity.</x:v>
      </x:c>
      <x:c r="G34" s="54" t="str">
        <x:v>Documentary field set.</x:v>
      </x:c>
      <x:c r="H34" s="54" t="str">
        <x:v>Current verified livelihood activity required.</x:v>
      </x:c>
      <x:c r="I34" s="54" t="str">
        <x:v>Avoid income-impact claims unless separately evidenced.</x:v>
      </x:c>
      <x:c r="J34" s="54" t="str">
        <x:v>Planned</x:v>
      </x:c>
      <x:c r="K34" s="54" t="str"/>
      <x:c r="L34" s="54" t="str"/>
      <x:c r="M34" s="54" t="str"/>
    </x:row>
    <x:row r="35">
      <x:c r="A35" s="58" t="n">
        <x:v>34</x:v>
      </x:c>
      <x:c r="B35" s="59" t="n">
        <x:v>46299</x:v>
      </x:c>
      <x:c r="C35" s="58" t="str">
        <x:v>MOMENT-014</x:v>
      </x:c>
      <x:c r="D35" s="58" t="str">
        <x:v>MOMENT</x:v>
      </x:c>
      <x:c r="E35" s="58" t="str">
        <x:v>Volunteer</x:v>
      </x:c>
      <x:c r="F35" s="58" t="str">
        <x:v>A volunteer at work — helping prepare materials, arrange an activity or support programme implementation.</x:v>
      </x:c>
      <x:c r="G35" s="58" t="str">
        <x:v>One candid image.</x:v>
      </x:c>
      <x:c r="H35" s="58" t="str">
        <x:v>Current volunteer activity required.</x:v>
      </x:c>
      <x:c r="I35" s="58" t="str">
        <x:v>Use consent-appropriate imagery; keep role description factual.</x:v>
      </x:c>
      <x:c r="J35" s="58" t="str">
        <x:v>Planned</x:v>
      </x:c>
      <x:c r="K35" s="58" t="str"/>
      <x:c r="L35" s="58" t="str"/>
      <x:c r="M35" s="58" t="str"/>
    </x:row>
    <x:row r="36">
      <x:c r="A36" s="54" t="n">
        <x:v>35</x:v>
      </x:c>
      <x:c r="B36" s="55" t="n">
        <x:v>46300</x:v>
      </x:c>
      <x:c r="C36" s="54" t="str">
        <x:v>OBS-003</x:v>
      </x:c>
      <x:c r="D36" s="54" t="str">
        <x:v>OBS</x:v>
      </x:c>
      <x:c r="E36" s="54" t="str">
        <x:v>E4BL</x:v>
      </x:c>
      <x:c r="F36" s="54" t="str">
        <x:v>World Teachers' Day — recognize HSF teachers through their actual work, not a generic greeting card.</x:v>
      </x:c>
      <x:c r="G36" s="54" t="str">
        <x:v>Teacher-in-class photo or carousel.</x:v>
      </x:c>
      <x:c r="H36" s="54" t="str">
        <x:v>Verify official observance date/source before publication.</x:v>
      </x:c>
      <x:c r="I36" s="54" t="str">
        <x:v>Focus on real teaching contribution; avoid unsupported performance claims.</x:v>
      </x:c>
      <x:c r="J36" s="54" t="str">
        <x:v>Planned</x:v>
      </x:c>
      <x:c r="K36" s="54" t="str"/>
      <x:c r="L36" s="54" t="str"/>
      <x:c r="M36" s="54" t="str"/>
    </x:row>
    <x:row r="37">
      <x:c r="A37" s="58" t="n">
        <x:v>36</x:v>
      </x:c>
      <x:c r="B37" s="59" t="n">
        <x:v>46301</x:v>
      </x:c>
      <x:c r="C37" s="58" t="str">
        <x:v>MOMENT-015</x:v>
      </x:c>
      <x:c r="D37" s="58" t="str">
        <x:v>MOMENT</x:v>
      </x:c>
      <x:c r="E37" s="58" t="str">
        <x:v>E4BL</x:v>
      </x:c>
      <x:c r="F37" s="58" t="str">
        <x:v>Before students enter the classroom — lesson planning, checking work or teacher preparation.</x:v>
      </x:c>
      <x:c r="G37" s="58" t="str">
        <x:v>Teacher-focused candid.</x:v>
      </x:c>
      <x:c r="H37" s="58" t="str">
        <x:v>Current preparation moment required.</x:v>
      </x:c>
      <x:c r="I37" s="58" t="str">
        <x:v>No student records visible.</x:v>
      </x:c>
      <x:c r="J37" s="58" t="str">
        <x:v>Planned</x:v>
      </x:c>
      <x:c r="K37" s="58" t="str"/>
      <x:c r="L37" s="58" t="str"/>
      <x:c r="M37" s="58" t="str"/>
    </x:row>
    <x:row r="38">
      <x:c r="A38" s="54" t="n">
        <x:v>37</x:v>
      </x:c>
      <x:c r="B38" s="55" t="n">
        <x:v>46302</x:v>
      </x:c>
      <x:c r="C38" s="54" t="str">
        <x:v>FIELD-017</x:v>
      </x:c>
      <x:c r="D38" s="54" t="str">
        <x:v>FIELD</x:v>
      </x:c>
      <x:c r="E38" s="54" t="str">
        <x:v>E4BL / Girls</x:v>
      </x:c>
      <x:c r="F38" s="54" t="str">
        <x:v>Girls participating confidently in learning — classroom, reading, creative activity or presentation.</x:v>
      </x:c>
      <x:c r="G38" s="54" t="str">
        <x:v>Group/activity imagery.</x:v>
      </x:c>
      <x:c r="H38" s="54" t="str">
        <x:v>Current activity photo required.</x:v>
      </x:c>
      <x:c r="I38" s="54" t="str">
        <x:v>Do not frame girls as passive beneficiaries; focus on participation and agency.</x:v>
      </x:c>
      <x:c r="J38" s="54" t="str">
        <x:v>Planned</x:v>
      </x:c>
      <x:c r="K38" s="54" t="str"/>
      <x:c r="L38" s="54" t="str"/>
      <x:c r="M38" s="54" t="str"/>
    </x:row>
    <x:row r="39">
      <x:c r="A39" s="58" t="n">
        <x:v>38</x:v>
      </x:c>
      <x:c r="B39" s="59" t="n">
        <x:v>46303</x:v>
      </x:c>
      <x:c r="C39" s="58" t="str">
        <x:v>MOMENT-016</x:v>
      </x:c>
      <x:c r="D39" s="58" t="str">
        <x:v>MOMENT</x:v>
      </x:c>
      <x:c r="E39" s="58" t="str">
        <x:v>E4BL / Girls</x:v>
      </x:c>
      <x:c r="F39" s="58" t="str">
        <x:v>A girl sharing her ideas — learning, presenting or contributing in a group activity.</x:v>
      </x:c>
      <x:c r="G39" s="58" t="str">
        <x:v>One strong image.</x:v>
      </x:c>
      <x:c r="H39" s="58" t="str">
        <x:v>Current moment and appropriate consent required.</x:v>
      </x:c>
      <x:c r="I39" s="58" t="str">
        <x:v>No unnecessary identifiers.</x:v>
      </x:c>
      <x:c r="J39" s="58" t="str">
        <x:v>Planned</x:v>
      </x:c>
      <x:c r="K39" s="58" t="str"/>
      <x:c r="L39" s="58" t="str"/>
      <x:c r="M39" s="58" t="str"/>
    </x:row>
    <x:row r="40">
      <x:c r="A40" s="54" t="n">
        <x:v>39</x:v>
      </x:c>
      <x:c r="B40" s="55" t="n">
        <x:v>46304</x:v>
      </x:c>
      <x:c r="C40" s="54" t="str">
        <x:v>FIELD-018</x:v>
      </x:c>
      <x:c r="D40" s="54" t="str">
        <x:v>FIELD</x:v>
      </x:c>
      <x:c r="E40" s="54" t="str">
        <x:v>Rights / Child Protection</x:v>
      </x:c>
      <x:c r="F40" s="54" t="str">
        <x:v>Respect and children's voices — a genuine HSF child-rights, participation or inclusion activity.</x:v>
      </x:c>
      <x:c r="G40" s="54" t="str">
        <x:v>Group/discussion image.</x:v>
      </x:c>
      <x:c r="H40" s="54" t="str">
        <x:v>Use only if current activity is documented.</x:v>
      </x:c>
      <x:c r="I40" s="54" t="str">
        <x:v>Safeguarding review required.</x:v>
      </x:c>
      <x:c r="J40" s="54" t="str">
        <x:v>Planned</x:v>
      </x:c>
      <x:c r="K40" s="54" t="str"/>
      <x:c r="L40" s="54" t="str"/>
      <x:c r="M40" s="54" t="str"/>
    </x:row>
    <x:row r="41">
      <x:c r="A41" s="58" t="n">
        <x:v>40</x:v>
      </x:c>
      <x:c r="B41" s="59" t="n">
        <x:v>46305</x:v>
      </x:c>
      <x:c r="C41" s="58" t="str">
        <x:v>MOMENT-017</x:v>
      </x:c>
      <x:c r="D41" s="58" t="str">
        <x:v>MOMENT</x:v>
      </x:c>
      <x:c r="E41" s="58" t="str">
        <x:v>Inclusion</x:v>
      </x:c>
      <x:c r="F41" s="58" t="str">
        <x:v>Everyone gets a place to participate — an ordinary classroom/community moment showing inclusion and respect.</x:v>
      </x:c>
      <x:c r="G41" s="58" t="str">
        <x:v>Natural group photo.</x:v>
      </x:c>
      <x:c r="H41" s="58" t="str">
        <x:v>Current activity photo required.</x:v>
      </x:c>
      <x:c r="I41" s="58" t="str">
        <x:v>Avoid labelling any person by vulnerability or disability unless specifically appropriate/approved.</x:v>
      </x:c>
      <x:c r="J41" s="58" t="str">
        <x:v>Planned</x:v>
      </x:c>
      <x:c r="K41" s="58" t="str"/>
      <x:c r="L41" s="58" t="str"/>
      <x:c r="M41" s="58" t="str"/>
    </x:row>
    <x:row r="42">
      <x:c r="A42" s="54" t="n">
        <x:v>41</x:v>
      </x:c>
      <x:c r="B42" s="55" t="n">
        <x:v>46306</x:v>
      </x:c>
      <x:c r="C42" s="54" t="str">
        <x:v>OBS-004</x:v>
      </x:c>
      <x:c r="D42" s="54" t="str">
        <x:v>OBS</x:v>
      </x:c>
      <x:c r="E42" s="54" t="str">
        <x:v>Girls / E4BL</x:v>
      </x:c>
      <x:c r="F42" s="54" t="str">
        <x:v>International Day of the Girl — focus on education, opportunity, voice and future choices.</x:v>
      </x:c>
      <x:c r="G42" s="54" t="str">
        <x:v>Authentic learning photo of girls.</x:v>
      </x:c>
      <x:c r="H42" s="54" t="str">
        <x:v>Verify official observance date/source before publication.</x:v>
      </x:c>
      <x:c r="I42" s="54" t="str">
        <x:v>Use dignity- and agency-centred language.</x:v>
      </x:c>
      <x:c r="J42" s="54" t="str">
        <x:v>Planned</x:v>
      </x:c>
      <x:c r="K42" s="54" t="str"/>
      <x:c r="L42" s="54" t="str"/>
      <x:c r="M42" s="54" t="str"/>
    </x:row>
    <x:row r="43">
      <x:c r="A43" s="58" t="n">
        <x:v>42</x:v>
      </x:c>
      <x:c r="B43" s="59" t="n">
        <x:v>46307</x:v>
      </x:c>
      <x:c r="C43" s="58" t="str">
        <x:v>FIELD-019</x:v>
      </x:c>
      <x:c r="D43" s="58" t="str">
        <x:v>FIELD</x:v>
      </x:c>
      <x:c r="E43" s="58" t="str">
        <x:v>E4BL / Inclusion</x:v>
      </x:c>
      <x:c r="F43" s="58" t="str">
        <x:v>Learning together — boys and girls participating in a collaborative classroom activity.</x:v>
      </x:c>
      <x:c r="G43" s="58" t="str">
        <x:v>2–3 photos.</x:v>
      </x:c>
      <x:c r="H43" s="58" t="str">
        <x:v>Current classroom activity required.</x:v>
      </x:c>
      <x:c r="I43" s="58" t="str">
        <x:v>Keep caption on participation and learning environment.</x:v>
      </x:c>
      <x:c r="J43" s="58" t="str">
        <x:v>Planned</x:v>
      </x:c>
      <x:c r="K43" s="58" t="str"/>
      <x:c r="L43" s="58" t="str"/>
      <x:c r="M43" s="58" t="str"/>
    </x:row>
    <x:row r="44">
      <x:c r="A44" s="54" t="n">
        <x:v>43</x:v>
      </x:c>
      <x:c r="B44" s="55" t="n">
        <x:v>46308</x:v>
      </x:c>
      <x:c r="C44" s="54" t="str">
        <x:v>OBS-005</x:v>
      </x:c>
      <x:c r="D44" s="54" t="str">
        <x:v>OBS</x:v>
      </x:c>
      <x:c r="E44" s="54" t="str">
        <x:v>Climate Action</x:v>
      </x:c>
      <x:c r="F44" s="54" t="str">
        <x:v>International Day for Disaster Risk Reduction — connect preparedness with real HSF resilience/community activity.</x:v>
      </x:c>
      <x:c r="G44" s="54" t="str">
        <x:v>Climate/community photo with light design.</x:v>
      </x:c>
      <x:c r="H44" s="54" t="str">
        <x:v>Verify official observance date/theme/source before publication.</x:v>
      </x:c>
      <x:c r="I44" s="54" t="str">
        <x:v>Do not overstate HSF's disaster-management role.</x:v>
      </x:c>
      <x:c r="J44" s="54" t="str">
        <x:v>Planned</x:v>
      </x:c>
      <x:c r="K44" s="54" t="str"/>
      <x:c r="L44" s="54" t="str"/>
      <x:c r="M44" s="54" t="str"/>
    </x:row>
    <x:row r="45">
      <x:c r="A45" s="58" t="n">
        <x:v>44</x:v>
      </x:c>
      <x:c r="B45" s="59" t="n">
        <x:v>46309</x:v>
      </x:c>
      <x:c r="C45" s="58" t="str">
        <x:v>HSF-003</x:v>
      </x:c>
      <x:c r="D45" s="58" t="str">
        <x:v>HSF</x:v>
      </x:c>
      <x:c r="E45" s="58" t="str">
        <x:v>MEAL / Institutional</x:v>
      </x:c>
      <x:c r="F45" s="58" t="str">
        <x:v>Before HSF shares a story, the information should be checked — staff reviewing field notes, photos or activity information.</x:v>
      </x:c>
      <x:c r="G45" s="58" t="str">
        <x:v>Behind-the-scenes desk/team photo.</x:v>
      </x:c>
      <x:c r="H45" s="58" t="str">
        <x:v>Current internal review activity; no sensitive data visible.</x:v>
      </x:c>
      <x:c r="I45" s="58" t="str">
        <x:v>Demonstrate evidence culture without exposing raw operational records.</x:v>
      </x:c>
      <x:c r="J45" s="58" t="str">
        <x:v>Planned</x:v>
      </x:c>
      <x:c r="K45" s="58" t="str"/>
      <x:c r="L45" s="58" t="str"/>
      <x:c r="M45" s="58" t="str"/>
    </x:row>
    <x:row r="46">
      <x:c r="A46" s="54" t="n">
        <x:v>45</x:v>
      </x:c>
      <x:c r="B46" s="55" t="n">
        <x:v>46310</x:v>
      </x:c>
      <x:c r="C46" s="54" t="str">
        <x:v>OBS-006</x:v>
      </x:c>
      <x:c r="D46" s="54" t="str">
        <x:v>OBS</x:v>
      </x:c>
      <x:c r="E46" s="54" t="str">
        <x:v>E4BL / Health</x:v>
      </x:c>
      <x:c r="F46" s="54" t="str">
        <x:v>Global Handwashing Day — handwashing or hygiene practice with children/community participants.</x:v>
      </x:c>
      <x:c r="G46" s="54" t="str">
        <x:v>Demonstration/activity photos.</x:v>
      </x:c>
      <x:c r="H46" s="54" t="str">
        <x:v>Verify official observance date/source before publication.</x:v>
      </x:c>
      <x:c r="I46" s="54" t="str">
        <x:v>Use current HSF activity if possible; otherwise do not stage.</x:v>
      </x:c>
      <x:c r="J46" s="54" t="str">
        <x:v>Planned</x:v>
      </x:c>
      <x:c r="K46" s="54" t="str"/>
      <x:c r="L46" s="54" t="str"/>
      <x:c r="M46" s="54" t="str"/>
    </x:row>
    <x:row r="47">
      <x:c r="A47" s="58" t="n">
        <x:v>46</x:v>
      </x:c>
      <x:c r="B47" s="59" t="n">
        <x:v>46311</x:v>
      </x:c>
      <x:c r="C47" s="58" t="str">
        <x:v>OBS-007</x:v>
      </x:c>
      <x:c r="D47" s="58" t="str">
        <x:v>OBS</x:v>
      </x:c>
      <x:c r="E47" s="58" t="str">
        <x:v>Nutrition / Livelihood</x:v>
      </x:c>
      <x:c r="F47" s="58" t="str">
        <x:v>World Food Day — connect only to a real HSF nutrition, healthy-food or farmer activity.</x:v>
      </x:c>
      <x:c r="G47" s="58" t="str">
        <x:v>Food/farmer/activity image.</x:v>
      </x:c>
      <x:c r="H47" s="58" t="str">
        <x:v>Verify official observance date/source and current HSF connection.</x:v>
      </x:c>
      <x:c r="I47" s="58" t="str">
        <x:v>Avoid broad food-security claims unsupported by HSF data.</x:v>
      </x:c>
      <x:c r="J47" s="58" t="str">
        <x:v>Planned</x:v>
      </x:c>
      <x:c r="K47" s="58" t="str"/>
      <x:c r="L47" s="58" t="str"/>
      <x:c r="M47" s="58" t="str"/>
    </x:row>
    <x:row r="48">
      <x:c r="A48" s="54" t="n">
        <x:v>47</x:v>
      </x:c>
      <x:c r="B48" s="55" t="n">
        <x:v>46312</x:v>
      </x:c>
      <x:c r="C48" s="54" t="str">
        <x:v>OBS-008</x:v>
      </x:c>
      <x:c r="D48" s="54" t="str">
        <x:v>OBS</x:v>
      </x:c>
      <x:c r="E48" s="54" t="str">
        <x:v>Human Development</x:v>
      </x:c>
      <x:c r="F48" s="54" t="str">
        <x:v>International Day for the Eradication of Poverty — communicate dignity and access to education/health rather than suffering.</x:v>
      </x:c>
      <x:c r="G48" s="54" t="str">
        <x:v>Positive programme montage.</x:v>
      </x:c>
      <x:c r="H48" s="54" t="str">
        <x:v>Verify official observance date/source before publication.</x:v>
      </x:c>
      <x:c r="I48" s="54" t="str">
        <x:v>No exploitative poverty imagery or exaggerated impact claims.</x:v>
      </x:c>
      <x:c r="J48" s="54" t="str">
        <x:v>Planned</x:v>
      </x:c>
      <x:c r="K48" s="54" t="str"/>
      <x:c r="L48" s="54" t="str"/>
      <x:c r="M48" s="54" t="str"/>
    </x:row>
    <x:row r="49">
      <x:c r="A49" s="58" t="n">
        <x:v>48</x:v>
      </x:c>
      <x:c r="B49" s="59" t="n">
        <x:v>46313</x:v>
      </x:c>
      <x:c r="C49" s="58" t="str">
        <x:v>HSF-004</x:v>
      </x:c>
      <x:c r="D49" s="58" t="str">
        <x:v>HSF</x:v>
      </x:c>
      <x:c r="E49" s="58" t="str">
        <x:v>Institutional / Volunteer</x:v>
      </x:c>
      <x:c r="F49" s="58" t="str">
        <x:v>48 days of HSF in Action — a visual reflection on people, programmes and everyday work documented during the cycle.</x:v>
      </x:c>
      <x:c r="G49" s="58" t="str">
        <x:v>4–6-photo carousel or collage.</x:v>
      </x:c>
      <x:c r="H49" s="58" t="str">
        <x:v>Use only published/approved photos and verified activities from the cycle.</x:v>
      </x:c>
      <x:c r="I49" s="58" t="str">
        <x:v>Summarize documented activity; do not convert activity volume into unsupported impact.</x:v>
      </x:c>
      <x:c r="J49" s="58" t="str">
        <x:v>Planned</x:v>
      </x:c>
      <x:c r="K49" s="58" t="str"/>
      <x:c r="L49" s="58" t="str"/>
      <x:c r="M49" s="58" t="str"/>
    </x:row>
  </x:sheetData>
  <x:conditionalFormatting sqref="J2:J49">
    <x:cfRule type="expression" dxfId="2" priority="1">
      <x:formula>J2="Published"</x:formula>
    </x:cfRule>
    <x:cfRule type="expression" dxfId="3" priority="2">
      <x:formula>J2="Next"</x:formula>
    </x:cfRule>
    <x:cfRule type="expression" dxfId="4" priority="3">
      <x:formula>J2="Held"</x:formula>
    </x:cfRule>
  </x:conditionalFormatting>
  <x:conditionalFormatting sqref="D2:D49">
    <x:cfRule type="expression" dxfId="5" priority="4">
      <x:formula>D2="FIELD"</x:formula>
    </x:cfRule>
    <x:cfRule type="expression" dxfId="6" priority="5">
      <x:formula>D2="MOMENT"</x:formula>
    </x:cfRule>
    <x:cfRule type="expression" dxfId="7" priority="6">
      <x:formula>D2="EVENT"</x:formula>
    </x:cfRule>
    <x:cfRule type="expression" dxfId="8" priority="7">
      <x:formula>D2="OBS"</x:formula>
    </x:cfRule>
    <x:cfRule type="expression" dxfId="9" priority="8">
      <x:formula>D2="HSF"</x:formula>
    </x:cfRule>
  </x:conditionalFormatting>
  <x:dataValidations count="1">
    <x:dataValidation type="list" sqref="J2:J49">
      <x:formula1>"Planned,Next,Drafting,Ready,Scheduled,Published,Skipped,Held"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99bf2d89e91488a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15" hidden="0" customWidth="1"/>
    <x:col min="3" max="3" width="18" hidden="0" customWidth="1"/>
    <x:col min="4" max="4" width="14" hidden="0" customWidth="1"/>
    <x:col min="5" max="5" width="12" hidden="0" customWidth="1"/>
    <x:col min="6" max="6" width="40" hidden="0" customWidth="1"/>
    <x:col min="7" max="7" width="14" hidden="0" customWidth="1"/>
    <x:col min="8" max="8" width="24" hidden="0" customWidth="1"/>
    <x:col min="9" max="9" width="18" hidden="0" customWidth="1"/>
    <x:col min="10" max="10" width="10" hidden="0" customWidth="1"/>
    <x:col min="11" max="11" width="15" hidden="0" customWidth="1"/>
    <x:col min="12" max="12" width="40" hidden="0" customWidth="1"/>
    <x:col min="13" max="13" width="18" hidden="0" customWidth="1"/>
    <x:col min="14" max="14" width="14" hidden="0" customWidth="1"/>
    <x:col min="15" max="15" width="24" hidden="0" customWidth="1"/>
    <x:col min="16" max="16" width="28" hidden="0" customWidth="1"/>
    <x:col min="17" max="17" width="52" hidden="0" customWidth="1"/>
    <x:col min="18" max="18" width="28" hidden="0" customWidth="1"/>
  </x:cols>
  <x:sheetData>
    <x:row r="1" ht="40" customHeight="1">
      <x:c r="A1" s="36" t="str">
        <x:v>Day</x:v>
      </x:c>
      <x:c r="B1" s="36" t="str">
        <x:v>Date</x:v>
      </x:c>
      <x:c r="C1" s="36" t="str">
        <x:v>Morning Window</x:v>
      </x:c>
      <x:c r="D1" s="36" t="str">
        <x:v>Overlay ID</x:v>
      </x:c>
      <x:c r="E1" s="36" t="str">
        <x:v>Overlay Category</x:v>
      </x:c>
      <x:c r="F1" s="36" t="str">
        <x:v>Morning Post Idea</x:v>
      </x:c>
      <x:c r="G1" s="36" t="str">
        <x:v>Morning Status</x:v>
      </x:c>
      <x:c r="H1" s="36" t="str">
        <x:v>Morning Post URL</x:v>
      </x:c>
      <x:c r="I1" s="36" t="str">
        <x:v>Afternoon Window</x:v>
      </x:c>
      <x:c r="J1" s="36" t="str">
        <x:v>Core ID</x:v>
      </x:c>
      <x:c r="K1" s="36" t="str">
        <x:v>Issue / Resolution</x:v>
      </x:c>
      <x:c r="L1" s="36" t="str">
        <x:v>Core Heading</x:v>
      </x:c>
      <x:c r="M1" s="36" t="str">
        <x:v>Core Format</x:v>
      </x:c>
      <x:c r="N1" s="36" t="str">
        <x:v>Core Status</x:v>
      </x:c>
      <x:c r="O1" s="36" t="str">
        <x:v>Core Post URL</x:v>
      </x:c>
      <x:c r="P1" s="36" t="str">
        <x:v>Day Status</x:v>
      </x:c>
      <x:c r="Q1" s="36" t="str">
        <x:v>Evidence / Safeguarding Check</x:v>
      </x:c>
      <x:c r="R1" s="36" t="str">
        <x:v>Notes</x:v>
      </x:c>
    </x:row>
    <x:row r="2">
      <x:c r="A2" s="54" t="n">
        <x:v>1</x:v>
      </x:c>
      <x:c r="B2" s="55" t="n">
        <x:v>46266</x:v>
      </x:c>
      <x:c r="C2" s="54" t="str">
        <x:v>9:00–10:00 AM</x:v>
      </x:c>
      <x:c r="D2" s="54" t="str">
        <x:v>FIELD-001</x:v>
      </x:c>
      <x:c r="E2" s="54" t="str">
        <x:v>FIELD</x:v>
      </x:c>
      <x:c r="F2" s="54" t="str">
        <x:v>Hazaribagh Center students received learning materials to support classroom activities.</x:v>
      </x:c>
      <x:c r="G2" s="54" t="str">
        <x:v>Published</x:v>
      </x:c>
      <x:c r="H2" s="54" t="str"/>
      <x:c r="I2" s="54" t="str">
        <x:v>4:00–5:00 PM</x:v>
      </x:c>
      <x:c r="J2" s="54" t="str">
        <x:v>P01</x:v>
      </x:c>
      <x:c r="K2" s="54" t="str">
        <x:v>Issue</x:v>
      </x:c>
      <x:c r="L2" s="54" t="str">
        <x:v>When Money Becomes a Barrier to Learning</x:v>
      </x:c>
      <x:c r="M2" s="54" t="str">
        <x:v>Standard</x:v>
      </x:c>
      <x:c r="N2" s="54" t="str">
        <x:v>Published</x:v>
      </x:c>
      <x:c r="O2" s="54" t="str"/>
      <x:c r="P2" s="54" t="str">
        <x:f>IF(N2="Published",IF(G2="Published","Both Published",IF(G2="Skipped","Core Published / Overlay Skipped","Core Published / Overlay Pending")),IF(OR(G2="Published",G2="Skipped"),"Core Pending","Planned"))</x:f>
        <x:v>Both Published</x:v>
      </x:c>
      <x:c r="Q2" s="54" t="str">
        <x:v>Morning: Published activity supplied by user; photographs available. | Children: consent/privacy check; no names, registers or personal details visible. Core: follow v3.2 evidence/safeguarding rules.</x:v>
      </x:c>
      <x:c r="R2" s="54" t="str"/>
    </x:row>
    <x:row r="3">
      <x:c r="A3" s="58" t="n">
        <x:v>2</x:v>
      </x:c>
      <x:c r="B3" s="59" t="n">
        <x:v>46267</x:v>
      </x:c>
      <x:c r="C3" s="58" t="str">
        <x:v>9:00–10:00 AM</x:v>
      </x:c>
      <x:c r="D3" s="58" t="str">
        <x:v>MOMENT-001</x:v>
      </x:c>
      <x:c r="E3" s="58" t="str">
        <x:v>MOMENT</x:v>
      </x:c>
      <x:c r="F3" s="58" t="str">
        <x:v>Putting the new learning materials to use — students using the materials in ordinary classwork.</x:v>
      </x:c>
      <x:c r="G3" s="58" t="str">
        <x:v>Next</x:v>
      </x:c>
      <x:c r="H3" s="58" t="str"/>
      <x:c r="I3" s="58" t="str">
        <x:v>4:00–5:00 PM</x:v>
      </x:c>
      <x:c r="J3" s="58" t="str">
        <x:v>P02</x:v>
      </x:c>
      <x:c r="K3" s="58" t="str">
        <x:v>Resolution</x:v>
      </x:c>
      <x:c r="L3" s="58" t="str">
        <x:v>How Learning Can Continue When Resources Are Limited</x:v>
      </x:c>
      <x:c r="M3" s="58" t="str">
        <x:v>Standard</x:v>
      </x:c>
      <x:c r="N3" s="58" t="str">
        <x:v>Next</x:v>
      </x:c>
      <x:c r="O3" s="58" t="str"/>
      <x:c r="P3" s="58" t="str">
        <x:f>IF(N3="Published",IF(G3="Published","Both Published",IF(G3="Skipped","Core Published / Overlay Skipped","Core Published / Overlay Pending")),IF(OR(G3="Published",G3="Skipped"),"Core Pending","Planned"))</x:f>
        <x:v>Planned</x:v>
      </x:c>
      <x:c r="Q3" s="58" t="str">
        <x:v>Morning: Use only if current photos/observation are available. | Keep it natural; do not claim improved performance from the activity. Core: follow v3.2 evidence/safeguarding rules.</x:v>
      </x:c>
      <x:c r="R3" s="58" t="str"/>
    </x:row>
    <x:row r="4">
      <x:c r="A4" s="54" t="n">
        <x:v>3</x:v>
      </x:c>
      <x:c r="B4" s="55" t="n">
        <x:v>46268</x:v>
      </x:c>
      <x:c r="C4" s="54" t="str">
        <x:v>9:00–10:00 AM</x:v>
      </x:c>
      <x:c r="D4" s="54" t="str">
        <x:v>FIELD-002</x:v>
      </x:c>
      <x:c r="E4" s="54" t="str">
        <x:v>FIELD</x:v>
      </x:c>
      <x:c r="F4" s="54" t="str">
        <x:v>A regular classroom morning — reading, writing and guided classwork at Hazaribagh or Uttara.</x:v>
      </x:c>
      <x:c r="G4" s="54" t="str">
        <x:v>Planned</x:v>
      </x:c>
      <x:c r="H4" s="54" t="str"/>
      <x:c r="I4" s="54" t="str">
        <x:v>4:00–5:00 PM</x:v>
      </x:c>
      <x:c r="J4" s="54" t="str">
        <x:v>P03</x:v>
      </x:c>
      <x:c r="K4" s="54" t="str">
        <x:v>Issue</x:v>
      </x:c>
      <x:c r="L4" s="54" t="str">
        <x:v>School Dropout Usually Starts Before the Last Day in Class</x:v>
      </x:c>
      <x:c r="M4" s="54" t="str">
        <x:v>Standard</x:v>
      </x:c>
      <x:c r="N4" s="54" t="str">
        <x:v>Planned</x:v>
      </x:c>
      <x:c r="O4" s="54" t="str"/>
      <x:c r="P4" s="54" t="str">
        <x:f>IF(N4="Published",IF(G4="Published","Both Published",IF(G4="Skipped","Core Published / Overlay Skipped","Core Published / Overlay Pending")),IF(OR(G4="Published",G4="Skipped"),"Core Pending","Planned"))</x:f>
        <x:v>Planned</x:v>
      </x:c>
      <x:c r="Q4" s="54" t="str">
        <x:v>Morning: Current classroom activity/photo evidence required. | Protect learner identities where appropriate; avoid registers. Core: follow v3.2 evidence/safeguarding rules.</x:v>
      </x:c>
      <x:c r="R4" s="54" t="str"/>
    </x:row>
    <x:row r="5">
      <x:c r="A5" s="58" t="n">
        <x:v>4</x:v>
      </x:c>
      <x:c r="B5" s="59" t="n">
        <x:v>46269</x:v>
      </x:c>
      <x:c r="C5" s="58" t="str">
        <x:v>9:00–10:00 AM</x:v>
      </x:c>
      <x:c r="D5" s="58" t="str">
        <x:v>MOMENT-002</x:v>
      </x:c>
      <x:c r="E5" s="58" t="str">
        <x:v>MOMENT</x:v>
      </x:c>
      <x:c r="F5" s="58" t="str">
        <x:v>A student sharing what they understand with classmates or responding to a teacher.</x:v>
      </x:c>
      <x:c r="G5" s="58" t="str">
        <x:v>Planned</x:v>
      </x:c>
      <x:c r="H5" s="58" t="str"/>
      <x:c r="I5" s="58" t="str">
        <x:v>4:00–5:00 PM</x:v>
      </x:c>
      <x:c r="J5" s="58" t="str">
        <x:v>P04</x:v>
      </x:c>
      <x:c r="K5" s="58" t="str">
        <x:v>Resolution</x:v>
      </x:c>
      <x:c r="L5" s="58" t="str">
        <x:v>Notice the Signs Before Learning Stops</x:v>
      </x:c>
      <x:c r="M5" s="58" t="str">
        <x:v>Special Engagement</x:v>
      </x:c>
      <x:c r="N5" s="58" t="str">
        <x:v>Planned</x:v>
      </x:c>
      <x:c r="O5" s="58" t="str"/>
      <x:c r="P5" s="58" t="str">
        <x:f>IF(N5="Published",IF(G5="Published","Both Published",IF(G5="Skipped","Core Published / Overlay Skipped","Core Published / Overlay Pending")),IF(OR(G5="Published",G5="Skipped"),"Core Pending","Planned"))</x:f>
        <x:v>Planned</x:v>
      </x:c>
      <x:c r="Q5" s="58" t="str">
        <x:v>Morning: Current classroom moment required. | No unnecessary student name or background details. Core: follow v3.2 evidence/safeguarding rules.</x:v>
      </x:c>
      <x:c r="R5" s="58" t="str"/>
    </x:row>
    <x:row r="6">
      <x:c r="A6" s="54" t="n">
        <x:v>5</x:v>
      </x:c>
      <x:c r="B6" s="55" t="n">
        <x:v>46270</x:v>
      </x:c>
      <x:c r="C6" s="54" t="str">
        <x:v>9:00–10:00 AM</x:v>
      </x:c>
      <x:c r="D6" s="54" t="str">
        <x:v>HSF-001</x:v>
      </x:c>
      <x:c r="E6" s="54" t="str">
        <x:v>HSF</x:v>
      </x:c>
      <x:c r="F6" s="54" t="str">
        <x:v>Behind the learning activity — teacher or staff preparing notebooks, lesson materials or classroom resources.</x:v>
      </x:c>
      <x:c r="G6" s="54" t="str">
        <x:v>Planned</x:v>
      </x:c>
      <x:c r="H6" s="54" t="str"/>
      <x:c r="I6" s="54" t="str">
        <x:v>4:00–5:00 PM</x:v>
      </x:c>
      <x:c r="J6" s="54" t="str">
        <x:v>P05</x:v>
      </x:c>
      <x:c r="K6" s="54" t="str">
        <x:v>Issue</x:v>
      </x:c>
      <x:c r="L6" s="54" t="str">
        <x:v>Learning Should Not Depend on Expensive Materials</x:v>
      </x:c>
      <x:c r="M6" s="54" t="str">
        <x:v>Standard</x:v>
      </x:c>
      <x:c r="N6" s="54" t="str">
        <x:v>Planned</x:v>
      </x:c>
      <x:c r="O6" s="54" t="str"/>
      <x:c r="P6" s="54" t="str">
        <x:f>IF(N6="Published",IF(G6="Published","Both Published",IF(G6="Skipped","Core Published / Overlay Skipped","Core Published / Overlay Pending")),IF(OR(G6="Published",G6="Skipped"),"Core Pending","Planned"))</x:f>
        <x:v>Planned</x:v>
      </x:c>
      <x:c r="Q6" s="54" t="str">
        <x:v>Morning: Current preparation activity required. | Keep caption about preparation/support, not outcomes. Core: follow v3.2 evidence/safeguarding rules.</x:v>
      </x:c>
      <x:c r="R6" s="54" t="str"/>
    </x:row>
    <x:row r="7">
      <x:c r="A7" s="58" t="n">
        <x:v>6</x:v>
      </x:c>
      <x:c r="B7" s="59" t="n">
        <x:v>46271</x:v>
      </x:c>
      <x:c r="C7" s="58" t="str">
        <x:v>9:00–10:00 AM</x:v>
      </x:c>
      <x:c r="D7" s="58" t="str">
        <x:v>FIELD-003</x:v>
      </x:c>
      <x:c r="E7" s="58" t="str">
        <x:v>FIELD</x:v>
      </x:c>
      <x:c r="F7" s="58" t="str">
        <x:v>Before a medical camp begins — team setup, consultation space and preparation.</x:v>
      </x:c>
      <x:c r="G7" s="58" t="str">
        <x:v>Planned</x:v>
      </x:c>
      <x:c r="H7" s="58" t="str"/>
      <x:c r="I7" s="58" t="str">
        <x:v>4:00–5:00 PM</x:v>
      </x:c>
      <x:c r="J7" s="58" t="str">
        <x:v>P06</x:v>
      </x:c>
      <x:c r="K7" s="58" t="str">
        <x:v>Resolution</x:v>
      </x:c>
      <x:c r="L7" s="58" t="str">
        <x:v>A Simple Learning Routine Can Start With What Is Already Available</x:v>
      </x:c>
      <x:c r="M7" s="58" t="str">
        <x:v>Standard</x:v>
      </x:c>
      <x:c r="N7" s="58" t="str">
        <x:v>Planned</x:v>
      </x:c>
      <x:c r="O7" s="58" t="str"/>
      <x:c r="P7" s="58" t="str">
        <x:f>IF(N7="Published",IF(G7="Published","Both Published",IF(G7="Skipped","Core Published / Overlay Skipped","Core Published / Overlay Pending")),IF(OR(G7="Published",G7="Skipped"),"Core Pending","Planned"))</x:f>
        <x:v>Planned</x:v>
      </x:c>
      <x:c r="Q7" s="58" t="str">
        <x:v>Morning: Current camp record/photo required. | No patient records, prescriptions, names or identifiable clinical details. Core: follow v3.2 evidence/safeguarding rules.</x:v>
      </x:c>
      <x:c r="R7" s="58" t="str"/>
    </x:row>
    <x:row r="8">
      <x:c r="A8" s="54" t="n">
        <x:v>7</x:v>
      </x:c>
      <x:c r="B8" s="55" t="n">
        <x:v>46272</x:v>
      </x:c>
      <x:c r="C8" s="54" t="str">
        <x:v>9:00–10:00 AM</x:v>
      </x:c>
      <x:c r="D8" s="54" t="str">
        <x:v>MOMENT-003</x:v>
      </x:c>
      <x:c r="E8" s="54" t="str">
        <x:v>MOMENT</x:v>
      </x:c>
      <x:c r="F8" s="54" t="str">
        <x:v>A doctor listening — respectful consultation environment showing human interaction.</x:v>
      </x:c>
      <x:c r="G8" s="54" t="str">
        <x:v>Planned</x:v>
      </x:c>
      <x:c r="H8" s="54" t="str"/>
      <x:c r="I8" s="54" t="str">
        <x:v>4:00–5:00 PM</x:v>
      </x:c>
      <x:c r="J8" s="54" t="str">
        <x:v>P07</x:v>
      </x:c>
      <x:c r="K8" s="54" t="str">
        <x:v>Issue</x:v>
      </x:c>
      <x:c r="L8" s="54" t="str">
        <x:v>A Child Struggles More When Home and School Work Separately</x:v>
      </x:c>
      <x:c r="M8" s="54" t="str">
        <x:v>Standard</x:v>
      </x:c>
      <x:c r="N8" s="54" t="str">
        <x:v>Planned</x:v>
      </x:c>
      <x:c r="O8" s="54" t="str"/>
      <x:c r="P8" s="54" t="str">
        <x:f>IF(N8="Published",IF(G8="Published","Both Published",IF(G8="Skipped","Core Published / Overlay Skipped","Core Published / Overlay Pending")),IF(OR(G8="Published",G8="Skipped"),"Core Pending","Planned"))</x:f>
        <x:v>Planned</x:v>
      </x:c>
      <x:c r="Q8" s="54" t="str">
        <x:v>Morning: Current consultation activity required. | Patient privacy is mandatory; avoid clinical claims. Core: follow v3.2 evidence/safeguarding rules.</x:v>
      </x:c>
      <x:c r="R8" s="54" t="str"/>
    </x:row>
    <x:row r="9">
      <x:c r="A9" s="58" t="n">
        <x:v>8</x:v>
      </x:c>
      <x:c r="B9" s="59" t="n">
        <x:v>46273</x:v>
      </x:c>
      <x:c r="C9" s="58" t="str">
        <x:v>9:00–10:00 AM</x:v>
      </x:c>
      <x:c r="D9" s="58" t="str">
        <x:v>OBS-001</x:v>
      </x:c>
      <x:c r="E9" s="58" t="str">
        <x:v>OBS</x:v>
      </x:c>
      <x:c r="F9" s="58" t="str">
        <x:v>International Literacy Day — connect literacy with everyday learning and education continuity.</x:v>
      </x:c>
      <x:c r="G9" s="58" t="str">
        <x:v>Planned</x:v>
      </x:c>
      <x:c r="H9" s="58" t="str"/>
      <x:c r="I9" s="58" t="str">
        <x:v>4:00–5:00 PM</x:v>
      </x:c>
      <x:c r="J9" s="58" t="str">
        <x:v>P08</x:v>
      </x:c>
      <x:c r="K9" s="58" t="str">
        <x:v>Resolution</x:v>
      </x:c>
      <x:c r="L9" s="58" t="str">
        <x:v>One Small Teacher–Guardian Conversation Can Make Support Clearer</x:v>
      </x:c>
      <x:c r="M9" s="58" t="str">
        <x:v>Special Engagement</x:v>
      </x:c>
      <x:c r="N9" s="58" t="str">
        <x:v>Planned</x:v>
      </x:c>
      <x:c r="O9" s="58" t="str"/>
      <x:c r="P9" s="58" t="str">
        <x:f>IF(N9="Published",IF(G9="Published","Both Published",IF(G9="Skipped","Core Published / Overlay Skipped","Core Published / Overlay Pending")),IF(OR(G9="Published",G9="Skipped"),"Core Pending","Planned"))</x:f>
        <x:v>Planned</x:v>
      </x:c>
      <x:c r="Q9" s="58" t="str">
        <x:v>Morning: Verify official observance date/source before publication; link to current E4BL reality. | Avoid generic greeting-card language. Core: follow v3.2 evidence/safeguarding rules.</x:v>
      </x:c>
      <x:c r="R9" s="58" t="str"/>
    </x:row>
    <x:row r="10">
      <x:c r="A10" s="54" t="n">
        <x:v>9</x:v>
      </x:c>
      <x:c r="B10" s="55" t="n">
        <x:v>46274</x:v>
      </x:c>
      <x:c r="C10" s="54" t="str">
        <x:v>9:00–10:00 AM</x:v>
      </x:c>
      <x:c r="D10" s="54" t="str">
        <x:v>FIELD-004</x:v>
      </x:c>
      <x:c r="E10" s="54" t="str">
        <x:v>FIELD</x:v>
      </x:c>
      <x:c r="F10" s="54" t="str">
        <x:v>Guardian–school communication — guardian meeting or teacher-parent discussion.</x:v>
      </x:c>
      <x:c r="G10" s="54" t="str">
        <x:v>Planned</x:v>
      </x:c>
      <x:c r="H10" s="54" t="str"/>
      <x:c r="I10" s="54" t="str">
        <x:v>4:00–5:00 PM</x:v>
      </x:c>
      <x:c r="J10" s="54" t="str">
        <x:v>P09</x:v>
      </x:c>
      <x:c r="K10" s="54" t="str">
        <x:v>Issue</x:v>
      </x:c>
      <x:c r="L10" s="54" t="str">
        <x:v>A Small Income Today Can Carry a Long Educational Cost</x:v>
      </x:c>
      <x:c r="M10" s="54" t="str">
        <x:v>Standard</x:v>
      </x:c>
      <x:c r="N10" s="54" t="str">
        <x:v>Planned</x:v>
      </x:c>
      <x:c r="O10" s="54" t="str"/>
      <x:c r="P10" s="54" t="str">
        <x:f>IF(N10="Published",IF(G10="Published","Both Published",IF(G10="Skipped","Core Published / Overlay Skipped","Core Published / Overlay Pending")),IF(OR(G10="Published",G10="Skipped"),"Core Pending","Planned"))</x:f>
        <x:v>Planned</x:v>
      </x:c>
      <x:c r="Q10" s="54" t="str">
        <x:v>Morning: Use only if a current meeting occurs and is documented. | Do not disclose individual learner problems or family details. Core: follow v3.2 evidence/safeguarding rules.</x:v>
      </x:c>
      <x:c r="R10" s="54" t="str"/>
    </x:row>
    <x:row r="11">
      <x:c r="A11" s="58" t="n">
        <x:v>10</x:v>
      </x:c>
      <x:c r="B11" s="59" t="n">
        <x:v>46275</x:v>
      </x:c>
      <x:c r="C11" s="58" t="str">
        <x:v>9:00–10:00 AM</x:v>
      </x:c>
      <x:c r="D11" s="58" t="str">
        <x:v>MOMENT-004</x:v>
      </x:c>
      <x:c r="E11" s="58" t="str">
        <x:v>MOMENT</x:v>
      </x:c>
      <x:c r="F11" s="58" t="str">
        <x:v>Learning does not always need expensive tools — children doing ordinary classwork with simple materials.</x:v>
      </x:c>
      <x:c r="G11" s="58" t="str">
        <x:v>Planned</x:v>
      </x:c>
      <x:c r="H11" s="58" t="str"/>
      <x:c r="I11" s="58" t="str">
        <x:v>4:00–5:00 PM</x:v>
      </x:c>
      <x:c r="J11" s="58" t="str">
        <x:v>P10</x:v>
      </x:c>
      <x:c r="K11" s="58" t="str">
        <x:v>Resolution</x:v>
      </x:c>
      <x:c r="L11" s="58" t="str">
        <x:v>What Can Help a Child Stay Connected to Learning</x:v>
      </x:c>
      <x:c r="M11" s="58" t="str">
        <x:v>Standard</x:v>
      </x:c>
      <x:c r="N11" s="58" t="str">
        <x:v>Planned</x:v>
      </x:c>
      <x:c r="O11" s="58" t="str"/>
      <x:c r="P11" s="58" t="str">
        <x:f>IF(N11="Published",IF(G11="Published","Both Published",IF(G11="Skipped","Core Published / Overlay Skipped","Core Published / Overlay Pending")),IF(OR(G11="Published",G11="Skipped"),"Core Pending","Planned"))</x:f>
        <x:v>Planned</x:v>
      </x:c>
      <x:c r="Q11" s="58" t="str">
        <x:v>Morning: Current classroom photo required. | Do not repeat the core post wording; keep it activity-focused. Core: follow v3.2 evidence/safeguarding rules.</x:v>
      </x:c>
      <x:c r="R11" s="58" t="str"/>
    </x:row>
    <x:row r="12">
      <x:c r="A12" s="54" t="n">
        <x:v>11</x:v>
      </x:c>
      <x:c r="B12" s="55" t="n">
        <x:v>46276</x:v>
      </x:c>
      <x:c r="C12" s="54" t="str">
        <x:v>9:00–10:00 AM</x:v>
      </x:c>
      <x:c r="D12" s="54" t="str">
        <x:v>FIELD-005</x:v>
      </x:c>
      <x:c r="E12" s="54" t="str">
        <x:v>FIELD</x:v>
      </x:c>
      <x:c r="F12" s="54" t="str">
        <x:v>Healthy habits at school — hygiene learning or handwashing practice.</x:v>
      </x:c>
      <x:c r="G12" s="54" t="str">
        <x:v>Planned</x:v>
      </x:c>
      <x:c r="H12" s="54" t="str"/>
      <x:c r="I12" s="54" t="str">
        <x:v>4:00–5:00 PM</x:v>
      </x:c>
      <x:c r="J12" s="54" t="str">
        <x:v>P11</x:v>
      </x:c>
      <x:c r="K12" s="54" t="str">
        <x:v>Issue</x:v>
      </x:c>
      <x:c r="L12" s="54" t="str">
        <x:v>Children Need More Than Attendance; They Need Safety and a Voice</x:v>
      </x:c>
      <x:c r="M12" s="54" t="str">
        <x:v>Standard</x:v>
      </x:c>
      <x:c r="N12" s="54" t="str">
        <x:v>Planned</x:v>
      </x:c>
      <x:c r="O12" s="54" t="str"/>
      <x:c r="P12" s="54" t="str">
        <x:f>IF(N12="Published",IF(G12="Published","Both Published",IF(G12="Skipped","Core Published / Overlay Skipped","Core Published / Overlay Pending")),IF(OR(G12="Published",G12="Skipped"),"Core Pending","Planned"))</x:f>
        <x:v>Planned</x:v>
      </x:c>
      <x:c r="Q12" s="54" t="str">
        <x:v>Morning: Current verified hygiene activity required. | Children: consent/privacy check. Core: follow v3.2 evidence/safeguarding rules.</x:v>
      </x:c>
      <x:c r="R12" s="54" t="str"/>
    </x:row>
    <x:row r="13">
      <x:c r="A13" s="58" t="n">
        <x:v>12</x:v>
      </x:c>
      <x:c r="B13" s="59" t="n">
        <x:v>46277</x:v>
      </x:c>
      <x:c r="C13" s="58" t="str">
        <x:v>9:00–10:00 AM</x:v>
      </x:c>
      <x:c r="D13" s="58" t="str">
        <x:v>MOMENT-005</x:v>
      </x:c>
      <x:c r="E13" s="58" t="str">
        <x:v>MOMENT</x:v>
      </x:c>
      <x:c r="F13" s="58" t="str">
        <x:v>Creativity in the classroom — drawing, artwork, handwriting or another creative exercise.</x:v>
      </x:c>
      <x:c r="G13" s="58" t="str">
        <x:v>Planned</x:v>
      </x:c>
      <x:c r="H13" s="58" t="str"/>
      <x:c r="I13" s="58" t="str">
        <x:v>4:00–5:00 PM</x:v>
      </x:c>
      <x:c r="J13" s="58" t="str">
        <x:v>P12</x:v>
      </x:c>
      <x:c r="K13" s="58" t="str">
        <x:v>Resolution</x:v>
      </x:c>
      <x:c r="L13" s="58" t="str">
        <x:v>Safe Support Should Make It Easier for a Child to Be Heard</x:v>
      </x:c>
      <x:c r="M13" s="58" t="str">
        <x:v>Special Engagement</x:v>
      </x:c>
      <x:c r="N13" s="58" t="str">
        <x:v>Planned</x:v>
      </x:c>
      <x:c r="O13" s="58" t="str"/>
      <x:c r="P13" s="58" t="str">
        <x:f>IF(N13="Published",IF(G13="Published","Both Published",IF(G13="Skipped","Core Published / Overlay Skipped","Core Published / Overlay Pending")),IF(OR(G13="Published",G13="Skipped"),"Core Pending","Planned"))</x:f>
        <x:v>Planned</x:v>
      </x:c>
      <x:c r="Q13" s="58" t="str">
        <x:v>Morning: Current creative activity required. | Focus on participation, not ranking unless an event result is verified. Core: follow v3.2 evidence/safeguarding rules.</x:v>
      </x:c>
      <x:c r="R13" s="58" t="str"/>
    </x:row>
    <x:row r="14">
      <x:c r="A14" s="54" t="n">
        <x:v>13</x:v>
      </x:c>
      <x:c r="B14" s="55" t="n">
        <x:v>46278</x:v>
      </x:c>
      <x:c r="C14" s="54" t="str">
        <x:v>9:00–10:00 AM</x:v>
      </x:c>
      <x:c r="D14" s="54" t="str">
        <x:v>FIELD-006</x:v>
      </x:c>
      <x:c r="E14" s="54" t="str">
        <x:v>FIELD</x:v>
      </x:c>
      <x:c r="F14" s="54" t="str">
        <x:v>Primary healthcare closer to the community — show an actual camp location and consultation setting.</x:v>
      </x:c>
      <x:c r="G14" s="54" t="str">
        <x:v>Planned</x:v>
      </x:c>
      <x:c r="H14" s="54" t="str"/>
      <x:c r="I14" s="54" t="str">
        <x:v>4:00–5:00 PM</x:v>
      </x:c>
      <x:c r="J14" s="54" t="str">
        <x:v>P13</x:v>
      </x:c>
      <x:c r="K14" s="54" t="str">
        <x:v>Issue</x:v>
      </x:c>
      <x:c r="L14" s="54" t="str">
        <x:v>Waiting Too Long Can Make a Manageable Health Concern Harder</x:v>
      </x:c>
      <x:c r="M14" s="54" t="str">
        <x:v>Standard</x:v>
      </x:c>
      <x:c r="N14" s="54" t="str">
        <x:v>Planned</x:v>
      </x:c>
      <x:c r="O14" s="54" t="str"/>
      <x:c r="P14" s="54" t="str">
        <x:f>IF(N14="Published",IF(G14="Published","Both Published",IF(G14="Skipped","Core Published / Overlay Skipped","Core Published / Overlay Pending")),IF(OR(G14="Published",G14="Skipped"),"Core Pending","Planned"))</x:f>
        <x:v>Planned</x:v>
      </x:c>
      <x:c r="Q14" s="54" t="str">
        <x:v>Morning: Current camp evidence required. | Describe consultation/service access only; do not imply treatment/recovery. Core: follow v3.2 evidence/safeguarding rules.</x:v>
      </x:c>
      <x:c r="R14" s="54" t="str"/>
    </x:row>
    <x:row r="15">
      <x:c r="A15" s="58" t="n">
        <x:v>14</x:v>
      </x:c>
      <x:c r="B15" s="59" t="n">
        <x:v>46279</x:v>
      </x:c>
      <x:c r="C15" s="58" t="str">
        <x:v>9:00–10:00 AM</x:v>
      </x:c>
      <x:c r="D15" s="58" t="str">
        <x:v>MOMENT-006</x:v>
      </x:c>
      <x:c r="E15" s="58" t="str">
        <x:v>MOMENT</x:v>
      </x:c>
      <x:c r="F15" s="58" t="str">
        <x:v>The people behind a health camp — doctor and field team arranging the service area.</x:v>
      </x:c>
      <x:c r="G15" s="58" t="str">
        <x:v>Planned</x:v>
      </x:c>
      <x:c r="H15" s="58" t="str"/>
      <x:c r="I15" s="58" t="str">
        <x:v>4:00–5:00 PM</x:v>
      </x:c>
      <x:c r="J15" s="58" t="str">
        <x:v>P14</x:v>
      </x:c>
      <x:c r="K15" s="58" t="str">
        <x:v>Resolution</x:v>
      </x:c>
      <x:c r="L15" s="58" t="str">
        <x:v>Primary Care Can Help People Seek the Right Next Step Earlier</x:v>
      </x:c>
      <x:c r="M15" s="58" t="str">
        <x:v>Standard</x:v>
      </x:c>
      <x:c r="N15" s="58" t="str">
        <x:v>Planned</x:v>
      </x:c>
      <x:c r="O15" s="58" t="str"/>
      <x:c r="P15" s="58" t="str">
        <x:f>IF(N15="Published",IF(G15="Published","Both Published",IF(G15="Skipped","Core Published / Overlay Skipped","Core Published / Overlay Pending")),IF(OR(G15="Published",G15="Skipped"),"Core Pending","Planned"))</x:f>
        <x:v>Planned</x:v>
      </x:c>
      <x:c r="Q15" s="58" t="str">
        <x:v>Morning: Current camp preparation required. | No patient information in frame. Core: follow v3.2 evidence/safeguarding rules.</x:v>
      </x:c>
      <x:c r="R15" s="58" t="str"/>
    </x:row>
    <x:row r="16">
      <x:c r="A16" s="54" t="n">
        <x:v>15</x:v>
      </x:c>
      <x:c r="B16" s="55" t="n">
        <x:v>46280</x:v>
      </x:c>
      <x:c r="C16" s="54" t="str">
        <x:v>9:00–10:00 AM</x:v>
      </x:c>
      <x:c r="D16" s="54" t="str">
        <x:v>FIELD-007</x:v>
      </x:c>
      <x:c r="E16" s="54" t="str">
        <x:v>FIELD</x:v>
      </x:c>
      <x:c r="F16" s="54" t="str">
        <x:v>Community health awareness in simple language — discussion on care-seeking or healthy practices.</x:v>
      </x:c>
      <x:c r="G16" s="54" t="str">
        <x:v>Planned</x:v>
      </x:c>
      <x:c r="H16" s="54" t="str"/>
      <x:c r="I16" s="54" t="str">
        <x:v>4:00–5:00 PM</x:v>
      </x:c>
      <x:c r="J16" s="54" t="str">
        <x:v>P15</x:v>
      </x:c>
      <x:c r="K16" s="54" t="str">
        <x:v>Issue</x:v>
      </x:c>
      <x:c r="L16" s="54" t="str">
        <x:v>Health Information Is Everywhere, but Not All of It Is Reliable</x:v>
      </x:c>
      <x:c r="M16" s="54" t="str">
        <x:v>Standard</x:v>
      </x:c>
      <x:c r="N16" s="54" t="str">
        <x:v>Planned</x:v>
      </x:c>
      <x:c r="O16" s="54" t="str"/>
      <x:c r="P16" s="54" t="str">
        <x:f>IF(N16="Published",IF(G16="Published","Both Published",IF(G16="Skipped","Core Published / Overlay Skipped","Core Published / Overlay Pending")),IF(OR(G16="Published",G16="Skipped"),"Core Pending","Planned"))</x:f>
        <x:v>Planned</x:v>
      </x:c>
      <x:c r="Q16" s="54" t="str">
        <x:v>Morning: Current awareness session required. | Technical messages should be checked; no unsupported medical advice. Core: follow v3.2 evidence/safeguarding rules.</x:v>
      </x:c>
      <x:c r="R16" s="54" t="str"/>
    </x:row>
    <x:row r="17">
      <x:c r="A17" s="58" t="n">
        <x:v>16</x:v>
      </x:c>
      <x:c r="B17" s="59" t="n">
        <x:v>46281</x:v>
      </x:c>
      <x:c r="C17" s="58" t="str">
        <x:v>9:00–10:00 AM</x:v>
      </x:c>
      <x:c r="D17" s="58" t="str">
        <x:v>MOMENT-007</x:v>
      </x:c>
      <x:c r="E17" s="58" t="str">
        <x:v>MOMENT</x:v>
      </x:c>
      <x:c r="F17" s="58" t="str">
        <x:v>Listening is part of good healthcare — a dignified doctor/community interaction.</x:v>
      </x:c>
      <x:c r="G17" s="58" t="str">
        <x:v>Planned</x:v>
      </x:c>
      <x:c r="H17" s="58" t="str"/>
      <x:c r="I17" s="58" t="str">
        <x:v>4:00–5:00 PM</x:v>
      </x:c>
      <x:c r="J17" s="58" t="str">
        <x:v>P16</x:v>
      </x:c>
      <x:c r="K17" s="58" t="str">
        <x:v>Resolution</x:v>
      </x:c>
      <x:c r="L17" s="58" t="str">
        <x:v>Simple Preventive Habits Work Best When the Advice Is Verified</x:v>
      </x:c>
      <x:c r="M17" s="58" t="str">
        <x:v>Special Engagement</x:v>
      </x:c>
      <x:c r="N17" s="58" t="str">
        <x:v>Planned</x:v>
      </x:c>
      <x:c r="O17" s="58" t="str"/>
      <x:c r="P17" s="58" t="str">
        <x:f>IF(N17="Published",IF(G17="Published","Both Published",IF(G17="Skipped","Core Published / Overlay Skipped","Core Published / Overlay Pending")),IF(OR(G17="Published",G17="Skipped"),"Core Pending","Planned"))</x:f>
        <x:v>Planned</x:v>
      </x:c>
      <x:c r="Q17" s="58" t="str">
        <x:v>Morning: Current safe consultation photo required. | No diagnosis, prescription or patient story without specific approval. Core: follow v3.2 evidence/safeguarding rules.</x:v>
      </x:c>
      <x:c r="R17" s="58" t="str"/>
    </x:row>
    <x:row r="18">
      <x:c r="A18" s="54" t="n">
        <x:v>17</x:v>
      </x:c>
      <x:c r="B18" s="55" t="n">
        <x:v>46282</x:v>
      </x:c>
      <x:c r="C18" s="54" t="str">
        <x:v>9:00–10:00 AM</x:v>
      </x:c>
      <x:c r="D18" s="54" t="str">
        <x:v>FIELD-008</x:v>
      </x:c>
      <x:c r="E18" s="54" t="str">
        <x:v>FIELD</x:v>
      </x:c>
      <x:c r="F18" s="54" t="str">
        <x:v>A community or yard meeting with women or families.</x:v>
      </x:c>
      <x:c r="G18" s="54" t="str">
        <x:v>Planned</x:v>
      </x:c>
      <x:c r="H18" s="54" t="str"/>
      <x:c r="I18" s="54" t="str">
        <x:v>4:00–5:00 PM</x:v>
      </x:c>
      <x:c r="J18" s="54" t="str">
        <x:v>P17</x:v>
      </x:c>
      <x:c r="K18" s="54" t="str">
        <x:v>Issue</x:v>
      </x:c>
      <x:c r="L18" s="54" t="str">
        <x:v>Some Health Risks Do Not Announce Themselves Early</x:v>
      </x:c>
      <x:c r="M18" s="54" t="str">
        <x:v>Standard</x:v>
      </x:c>
      <x:c r="N18" s="54" t="str">
        <x:v>Planned</x:v>
      </x:c>
      <x:c r="O18" s="54" t="str"/>
      <x:c r="P18" s="54" t="str">
        <x:f>IF(N18="Published",IF(G18="Published","Both Published",IF(G18="Skipped","Core Published / Overlay Skipped","Core Published / Overlay Pending")),IF(OR(G18="Published",G18="Skipped"),"Core Pending","Planned"))</x:f>
        <x:v>Planned</x:v>
      </x:c>
      <x:c r="Q18" s="54" t="str">
        <x:v>Morning: Use only if a current meeting occurs and is documented. | Safeguard women/adolescents; avoid sensitive personal health details. Core: follow v3.2 evidence/safeguarding rules.</x:v>
      </x:c>
      <x:c r="R18" s="54" t="str"/>
    </x:row>
    <x:row r="19">
      <x:c r="A19" s="58" t="n">
        <x:v>18</x:v>
      </x:c>
      <x:c r="B19" s="59" t="n">
        <x:v>46283</x:v>
      </x:c>
      <x:c r="C19" s="58" t="str">
        <x:v>9:00–10:00 AM</x:v>
      </x:c>
      <x:c r="D19" s="58" t="str">
        <x:v>MOMENT-008</x:v>
      </x:c>
      <x:c r="E19" s="58" t="str">
        <x:v>MOMENT</x:v>
      </x:c>
      <x:c r="F19" s="58" t="str">
        <x:v>One health message, explained clearly — staff using a poster, flipchart or conversation.</x:v>
      </x:c>
      <x:c r="G19" s="58" t="str">
        <x:v>Planned</x:v>
      </x:c>
      <x:c r="H19" s="58" t="str"/>
      <x:c r="I19" s="58" t="str">
        <x:v>4:00–5:00 PM</x:v>
      </x:c>
      <x:c r="J19" s="58" t="str">
        <x:v>P18</x:v>
      </x:c>
      <x:c r="K19" s="58" t="str">
        <x:v>Resolution</x:v>
      </x:c>
      <x:c r="L19" s="58" t="str">
        <x:v>Routine Checks Can Support Earlier Professional Attention</x:v>
      </x:c>
      <x:c r="M19" s="58" t="str">
        <x:v>Standard</x:v>
      </x:c>
      <x:c r="N19" s="58" t="str">
        <x:v>Planned</x:v>
      </x:c>
      <x:c r="O19" s="58" t="str"/>
      <x:c r="P19" s="58" t="str">
        <x:f>IF(N19="Published",IF(G19="Published","Both Published",IF(G19="Skipped","Core Published / Overlay Skipped","Core Published / Overlay Pending")),IF(OR(G19="Published",G19="Skipped"),"Core Pending","Planned"))</x:f>
        <x:v>Planned</x:v>
      </x:c>
      <x:c r="Q19" s="58" t="str">
        <x:v>Morning: Current awareness activity required. | Verify the health message before publication. Core: follow v3.2 evidence/safeguarding rules.</x:v>
      </x:c>
      <x:c r="R19" s="58" t="str"/>
    </x:row>
    <x:row r="20">
      <x:c r="A20" s="54" t="n">
        <x:v>19</x:v>
      </x:c>
      <x:c r="B20" s="55" t="n">
        <x:v>46284</x:v>
      </x:c>
      <x:c r="C20" s="54" t="str">
        <x:v>9:00–10:00 AM</x:v>
      </x:c>
      <x:c r="D20" s="54" t="str">
        <x:v>FIELD-009</x:v>
      </x:c>
      <x:c r="E20" s="54" t="str">
        <x:v>FIELD</x:v>
      </x:c>
      <x:c r="F20" s="54" t="str">
        <x:v>A clean learning environment — school hygiene activity or children practising healthy routines.</x:v>
      </x:c>
      <x:c r="G20" s="54" t="str">
        <x:v>Planned</x:v>
      </x:c>
      <x:c r="H20" s="54" t="str"/>
      <x:c r="I20" s="54" t="str">
        <x:v>4:00–5:00 PM</x:v>
      </x:c>
      <x:c r="J20" s="54" t="str">
        <x:v>P19</x:v>
      </x:c>
      <x:c r="K20" s="54" t="str">
        <x:v>Issue</x:v>
      </x:c>
      <x:c r="L20" s="54" t="str">
        <x:v>Small Hygiene Gaps Can Create Bigger Health Risks</x:v>
      </x:c>
      <x:c r="M20" s="54" t="str">
        <x:v>Standard</x:v>
      </x:c>
      <x:c r="N20" s="54" t="str">
        <x:v>Planned</x:v>
      </x:c>
      <x:c r="O20" s="54" t="str"/>
      <x:c r="P20" s="54" t="str">
        <x:f>IF(N20="Published",IF(G20="Published","Both Published",IF(G20="Skipped","Core Published / Overlay Skipped","Core Published / Overlay Pending")),IF(OR(G20="Published",G20="Skipped"),"Core Pending","Planned"))</x:f>
        <x:v>Planned</x:v>
      </x:c>
      <x:c r="Q20" s="54" t="str">
        <x:v>Morning: Current activity evidence required. | Do not stage unsafe or humiliating imagery. Core: follow v3.2 evidence/safeguarding rules.</x:v>
      </x:c>
      <x:c r="R20" s="54" t="str"/>
    </x:row>
    <x:row r="21">
      <x:c r="A21" s="58" t="n">
        <x:v>20</x:v>
      </x:c>
      <x:c r="B21" s="59" t="n">
        <x:v>46285</x:v>
      </x:c>
      <x:c r="C21" s="58" t="str">
        <x:v>9:00–10:00 AM</x:v>
      </x:c>
      <x:c r="D21" s="58" t="str">
        <x:v>MOMENT-009</x:v>
      </x:c>
      <x:c r="E21" s="58" t="str">
        <x:v>MOMENT</x:v>
      </x:c>
      <x:c r="F21" s="58" t="str">
        <x:v>A small healthy habit learned early — authentic handwashing or hygiene moment.</x:v>
      </x:c>
      <x:c r="G21" s="58" t="str">
        <x:v>Planned</x:v>
      </x:c>
      <x:c r="H21" s="58" t="str"/>
      <x:c r="I21" s="58" t="str">
        <x:v>4:00–5:00 PM</x:v>
      </x:c>
      <x:c r="J21" s="58" t="str">
        <x:v>P20</x:v>
      </x:c>
      <x:c r="K21" s="58" t="str">
        <x:v>Resolution</x:v>
      </x:c>
      <x:c r="L21" s="58" t="str">
        <x:v>A Household Hygiene Checklist Can Turn Awareness Into Routine</x:v>
      </x:c>
      <x:c r="M21" s="58" t="str">
        <x:v>Special Engagement</x:v>
      </x:c>
      <x:c r="N21" s="58" t="str">
        <x:v>Planned</x:v>
      </x:c>
      <x:c r="O21" s="58" t="str"/>
      <x:c r="P21" s="58" t="str">
        <x:f>IF(N21="Published",IF(G21="Published","Both Published",IF(G21="Skipped","Core Published / Overlay Skipped","Core Published / Overlay Pending")),IF(OR(G21="Published",G21="Skipped"),"Core Pending","Planned"))</x:f>
        <x:v>Planned</x:v>
      </x:c>
      <x:c r="Q21" s="58" t="str">
        <x:v>Morning: Current hygiene activity required. | Children: consent/privacy check. Core: follow v3.2 evidence/safeguarding rules.</x:v>
      </x:c>
      <x:c r="R21" s="58" t="str"/>
    </x:row>
    <x:row r="22">
      <x:c r="A22" s="54" t="n">
        <x:v>21</x:v>
      </x:c>
      <x:c r="B22" s="55" t="n">
        <x:v>46286</x:v>
      </x:c>
      <x:c r="C22" s="54" t="str">
        <x:v>9:00–10:00 AM</x:v>
      </x:c>
      <x:c r="D22" s="54" t="str">
        <x:v>OBS-002</x:v>
      </x:c>
      <x:c r="E22" s="54" t="str">
        <x:v>OBS</x:v>
      </x:c>
      <x:c r="F22" s="54" t="str">
        <x:v>International Day of Peace — connect peace with respect, listening, inclusion and everyday relationships.</x:v>
      </x:c>
      <x:c r="G22" s="54" t="str">
        <x:v>Planned</x:v>
      </x:c>
      <x:c r="H22" s="54" t="str"/>
      <x:c r="I22" s="54" t="str">
        <x:v>4:00–5:00 PM</x:v>
      </x:c>
      <x:c r="J22" s="54" t="str">
        <x:v>P21</x:v>
      </x:c>
      <x:c r="K22" s="54" t="str">
        <x:v>Issue</x:v>
      </x:c>
      <x:c r="L22" s="54" t="str">
        <x:v>Shame and Misinformation Can Become Health and Education Barriers</x:v>
      </x:c>
      <x:c r="M22" s="54" t="str">
        <x:v>Standard</x:v>
      </x:c>
      <x:c r="N22" s="54" t="str">
        <x:v>Planned</x:v>
      </x:c>
      <x:c r="O22" s="54" t="str"/>
      <x:c r="P22" s="54" t="str">
        <x:f>IF(N22="Published",IF(G22="Published","Both Published",IF(G22="Skipped","Core Published / Overlay Skipped","Core Published / Overlay Pending")),IF(OR(G22="Published",G22="Skipped"),"Core Pending","Planned"))</x:f>
        <x:v>Planned</x:v>
      </x:c>
      <x:c r="Q22" s="54" t="str">
        <x:v>Morning: Verify official observance date/source before publication. | Keep message relevant to HSF values and real community life. Core: follow v3.2 evidence/safeguarding rules.</x:v>
      </x:c>
      <x:c r="R22" s="54" t="str"/>
    </x:row>
    <x:row r="23">
      <x:c r="A23" s="58" t="n">
        <x:v>22</x:v>
      </x:c>
      <x:c r="B23" s="59" t="n">
        <x:v>46287</x:v>
      </x:c>
      <x:c r="C23" s="58" t="str">
        <x:v>9:00–10:00 AM</x:v>
      </x:c>
      <x:c r="D23" s="58" t="str">
        <x:v>FIELD-010</x:v>
      </x:c>
      <x:c r="E23" s="58" t="str">
        <x:v>FIELD</x:v>
      </x:c>
      <x:c r="F23" s="58" t="str">
        <x:v>Menstrual health and hygiene education where an actual session occurs.</x:v>
      </x:c>
      <x:c r="G23" s="58" t="str">
        <x:v>Planned</x:v>
      </x:c>
      <x:c r="H23" s="58" t="str"/>
      <x:c r="I23" s="58" t="str">
        <x:v>4:00–5:00 PM</x:v>
      </x:c>
      <x:c r="J23" s="58" t="str">
        <x:v>P22</x:v>
      </x:c>
      <x:c r="K23" s="58" t="str">
        <x:v>Resolution</x:v>
      </x:c>
      <x:c r="L23" s="58" t="str">
        <x:v>Menstrual Hygiene Information Should Be Practical, Private and Respectful</x:v>
      </x:c>
      <x:c r="M23" s="58" t="str">
        <x:v>Standard</x:v>
      </x:c>
      <x:c r="N23" s="58" t="str">
        <x:v>Planned</x:v>
      </x:c>
      <x:c r="O23" s="58" t="str"/>
      <x:c r="P23" s="58" t="str">
        <x:f>IF(N23="Published",IF(G23="Published","Both Published",IF(G23="Skipped","Core Published / Overlay Skipped","Core Published / Overlay Pending")),IF(OR(G23="Published",G23="Skipped"),"Core Pending","Planned"))</x:f>
        <x:v>Planned</x:v>
      </x:c>
      <x:c r="Q23" s="58" t="str">
        <x:v>Morning: Current session evidence required. | Privacy and dignity are mandatory; do not identify individual participants. Core: follow v3.2 evidence/safeguarding rules.</x:v>
      </x:c>
      <x:c r="R23" s="58" t="str"/>
    </x:row>
    <x:row r="24">
      <x:c r="A24" s="54" t="n">
        <x:v>23</x:v>
      </x:c>
      <x:c r="B24" s="55" t="n">
        <x:v>46288</x:v>
      </x:c>
      <x:c r="C24" s="54" t="str">
        <x:v>9:00–10:00 AM</x:v>
      </x:c>
      <x:c r="D24" s="54" t="str">
        <x:v>FIELD-011</x:v>
      </x:c>
      <x:c r="E24" s="54" t="str">
        <x:v>FIELD</x:v>
      </x:c>
      <x:c r="F24" s="54" t="str">
        <x:v>Young people talking about climate change — an HSF youth dialogue or awareness session.</x:v>
      </x:c>
      <x:c r="G24" s="54" t="str">
        <x:v>Planned</x:v>
      </x:c>
      <x:c r="H24" s="54" t="str"/>
      <x:c r="I24" s="54" t="str">
        <x:v>4:00–5:00 PM</x:v>
      </x:c>
      <x:c r="J24" s="54" t="str">
        <x:v>P23</x:v>
      </x:c>
      <x:c r="K24" s="54" t="str">
        <x:v>Issue</x:v>
      </x:c>
      <x:c r="L24" s="54" t="str">
        <x:v>Extreme Heat Is More Than Discomfort</x:v>
      </x:c>
      <x:c r="M24" s="54" t="str">
        <x:v>Standard</x:v>
      </x:c>
      <x:c r="N24" s="54" t="str">
        <x:v>Planned</x:v>
      </x:c>
      <x:c r="O24" s="54" t="str"/>
      <x:c r="P24" s="54" t="str">
        <x:f>IF(N24="Published",IF(G24="Published","Both Published",IF(G24="Skipped","Core Published / Overlay Skipped","Core Published / Overlay Pending")),IF(OR(G24="Published",G24="Skipped"),"Core Pending","Planned"))</x:f>
        <x:v>Planned</x:v>
      </x:c>
      <x:c r="Q24" s="54" t="str">
        <x:v>Morning: Current HSF climate activity required. | Do not imply programme results beyond the documented session. Core: follow v3.2 evidence/safeguarding rules.</x:v>
      </x:c>
      <x:c r="R24" s="54" t="str"/>
    </x:row>
    <x:row r="25">
      <x:c r="A25" s="58" t="n">
        <x:v>24</x:v>
      </x:c>
      <x:c r="B25" s="59" t="n">
        <x:v>46289</x:v>
      </x:c>
      <x:c r="C25" s="58" t="str">
        <x:v>9:00–10:00 AM</x:v>
      </x:c>
      <x:c r="D25" s="58" t="str">
        <x:v>MOMENT-010</x:v>
      </x:c>
      <x:c r="E25" s="58" t="str">
        <x:v>MOMENT</x:v>
      </x:c>
      <x:c r="F25" s="58" t="str">
        <x:v>A young voice on climate action — one participant contributing an idea during a session.</x:v>
      </x:c>
      <x:c r="G25" s="58" t="str">
        <x:v>Planned</x:v>
      </x:c>
      <x:c r="H25" s="58" t="str"/>
      <x:c r="I25" s="58" t="str">
        <x:v>4:00–5:00 PM</x:v>
      </x:c>
      <x:c r="J25" s="58" t="str">
        <x:v>P24</x:v>
      </x:c>
      <x:c r="K25" s="58" t="str">
        <x:v>Resolution</x:v>
      </x:c>
      <x:c r="L25" s="58" t="str">
        <x:v>Low-Cost Heat Actions Can Make Daily Spaces Safer</x:v>
      </x:c>
      <x:c r="M25" s="58" t="str">
        <x:v>Special Engagement</x:v>
      </x:c>
      <x:c r="N25" s="58" t="str">
        <x:v>Planned</x:v>
      </x:c>
      <x:c r="O25" s="58" t="str"/>
      <x:c r="P25" s="58" t="str">
        <x:f>IF(N25="Published",IF(G25="Published","Both Published",IF(G25="Skipped","Core Published / Overlay Skipped","Core Published / Overlay Pending")),IF(OR(G25="Published",G25="Skipped"),"Core Pending","Planned"))</x:f>
        <x:v>Planned</x:v>
      </x:c>
      <x:c r="Q25" s="58" t="str">
        <x:v>Morning: Current climate session required. | Use consent-appropriate imagery. Core: follow v3.2 evidence/safeguarding rules.</x:v>
      </x:c>
      <x:c r="R25" s="58" t="str"/>
    </x:row>
    <x:row r="26">
      <x:c r="A26" s="54" t="n">
        <x:v>25</x:v>
      </x:c>
      <x:c r="B26" s="55" t="n">
        <x:v>46290</x:v>
      </x:c>
      <x:c r="C26" s="54" t="str">
        <x:v>9:00–10:00 AM</x:v>
      </x:c>
      <x:c r="D26" s="54" t="str">
        <x:v>FIELD-012</x:v>
      </x:c>
      <x:c r="E26" s="54" t="str">
        <x:v>FIELD</x:v>
      </x:c>
      <x:c r="F26" s="54" t="str">
        <x:v>Community resilience conversation — flood, rain, heat or another locally relevant climate risk.</x:v>
      </x:c>
      <x:c r="G26" s="54" t="str">
        <x:v>Planned</x:v>
      </x:c>
      <x:c r="H26" s="54" t="str"/>
      <x:c r="I26" s="54" t="str">
        <x:v>4:00–5:00 PM</x:v>
      </x:c>
      <x:c r="J26" s="54" t="str">
        <x:v>P25</x:v>
      </x:c>
      <x:c r="K26" s="54" t="str">
        <x:v>Issue</x:v>
      </x:c>
      <x:c r="L26" s="54" t="str">
        <x:v>Heavy Rain Becomes More Dangerous When Preparation Starts Too Late</x:v>
      </x:c>
      <x:c r="M26" s="54" t="str">
        <x:v>Standard</x:v>
      </x:c>
      <x:c r="N26" s="54" t="str">
        <x:v>Planned</x:v>
      </x:c>
      <x:c r="O26" s="54" t="str"/>
      <x:c r="P26" s="54" t="str">
        <x:f>IF(N26="Published",IF(G26="Published","Both Published",IF(G26="Skipped","Core Published / Overlay Skipped","Core Published / Overlay Pending")),IF(OR(G26="Published",G26="Skipped"),"Core Pending","Planned"))</x:f>
        <x:v>Planned</x:v>
      </x:c>
      <x:c r="Q26" s="54" t="str">
        <x:v>Morning: Current activity/location evidence required. | Keep risk statements locally grounded and evidence-safe. Core: follow v3.2 evidence/safeguarding rules.</x:v>
      </x:c>
      <x:c r="R26" s="54" t="str"/>
    </x:row>
    <x:row r="27">
      <x:c r="A27" s="58" t="n">
        <x:v>26</x:v>
      </x:c>
      <x:c r="B27" s="59" t="n">
        <x:v>46291</x:v>
      </x:c>
      <x:c r="C27" s="58" t="str">
        <x:v>9:00–10:00 AM</x:v>
      </x:c>
      <x:c r="D27" s="58" t="str">
        <x:v>MOMENT-011</x:v>
      </x:c>
      <x:c r="E27" s="58" t="str">
        <x:v>MOMENT</x:v>
      </x:c>
      <x:c r="F27" s="58" t="str">
        <x:v>Looking at climate risk locally — field or community observation around the local environment.</x:v>
      </x:c>
      <x:c r="G27" s="58" t="str">
        <x:v>Planned</x:v>
      </x:c>
      <x:c r="H27" s="58" t="str"/>
      <x:c r="I27" s="58" t="str">
        <x:v>4:00–5:00 PM</x:v>
      </x:c>
      <x:c r="J27" s="58" t="str">
        <x:v>P26</x:v>
      </x:c>
      <x:c r="K27" s="58" t="str">
        <x:v>Resolution</x:v>
      </x:c>
      <x:c r="L27" s="58" t="str">
        <x:v>A Simple Household Readiness Plan Can Reduce Avoidable Risk</x:v>
      </x:c>
      <x:c r="M27" s="58" t="str">
        <x:v>Standard</x:v>
      </x:c>
      <x:c r="N27" s="58" t="str">
        <x:v>Planned</x:v>
      </x:c>
      <x:c r="O27" s="58" t="str"/>
      <x:c r="P27" s="58" t="str">
        <x:f>IF(N27="Published",IF(G27="Published","Both Published",IF(G27="Skipped","Core Published / Overlay Skipped","Core Published / Overlay Pending")),IF(OR(G27="Published",G27="Skipped"),"Core Pending","Planned"))</x:f>
        <x:v>Planned</x:v>
      </x:c>
      <x:c r="Q27" s="58" t="str">
        <x:v>Morning: Current field activity required. | Avoid presenting observation as technical assessment unless verified. Core: follow v3.2 evidence/safeguarding rules.</x:v>
      </x:c>
      <x:c r="R27" s="58" t="str"/>
    </x:row>
    <x:row r="28">
      <x:c r="A28" s="54" t="n">
        <x:v>27</x:v>
      </x:c>
      <x:c r="B28" s="55" t="n">
        <x:v>46292</x:v>
      </x:c>
      <x:c r="C28" s="54" t="str">
        <x:v>9:00–10:00 AM</x:v>
      </x:c>
      <x:c r="D28" s="54" t="str">
        <x:v>FIELD-013</x:v>
      </x:c>
      <x:c r="E28" s="54" t="str">
        <x:v>FIELD</x:v>
      </x:c>
      <x:c r="F28" s="54" t="str">
        <x:v>Tree care as climate action — planting or caring for trees where a verified HSF activity is occurring.</x:v>
      </x:c>
      <x:c r="G28" s="54" t="str">
        <x:v>Planned</x:v>
      </x:c>
      <x:c r="H28" s="54" t="str"/>
      <x:c r="I28" s="54" t="str">
        <x:v>4:00–5:00 PM</x:v>
      </x:c>
      <x:c r="J28" s="54" t="str">
        <x:v>P27</x:v>
      </x:c>
      <x:c r="K28" s="54" t="str">
        <x:v>Issue</x:v>
      </x:c>
      <x:c r="L28" s="54" t="str">
        <x:v>Single-Use Plastic Leaves a Longer Problem Than Its Short Use</x:v>
      </x:c>
      <x:c r="M28" s="54" t="str">
        <x:v>Standard</x:v>
      </x:c>
      <x:c r="N28" s="54" t="str">
        <x:v>Planned</x:v>
      </x:c>
      <x:c r="O28" s="54" t="str"/>
      <x:c r="P28" s="54" t="str">
        <x:f>IF(N28="Published",IF(G28="Published","Both Published",IF(G28="Skipped","Core Published / Overlay Skipped","Core Published / Overlay Pending")),IF(OR(G28="Published",G28="Skipped"),"Core Pending","Planned"))</x:f>
        <x:v>Planned</x:v>
      </x:c>
      <x:c r="Q28" s="54" t="str">
        <x:v>Morning: Current HSF tree activity required. | Do not use old photos as if current; state date/location accurately. Core: follow v3.2 evidence/safeguarding rules.</x:v>
      </x:c>
      <x:c r="R28" s="54" t="str"/>
    </x:row>
    <x:row r="29">
      <x:c r="A29" s="58" t="n">
        <x:v>28</x:v>
      </x:c>
      <x:c r="B29" s="59" t="n">
        <x:v>46293</x:v>
      </x:c>
      <x:c r="C29" s="58" t="str">
        <x:v>9:00–10:00 AM</x:v>
      </x:c>
      <x:c r="D29" s="58" t="str">
        <x:v>MOMENT-012</x:v>
      </x:c>
      <x:c r="E29" s="58" t="str">
        <x:v>MOMENT</x:v>
      </x:c>
      <x:c r="F29" s="58" t="str">
        <x:v>One small environmental action — a young person or community member caring for a tree/local environment.</x:v>
      </x:c>
      <x:c r="G29" s="58" t="str">
        <x:v>Planned</x:v>
      </x:c>
      <x:c r="H29" s="58" t="str"/>
      <x:c r="I29" s="58" t="str">
        <x:v>4:00–5:00 PM</x:v>
      </x:c>
      <x:c r="J29" s="58" t="str">
        <x:v>P28</x:v>
      </x:c>
      <x:c r="K29" s="58" t="str">
        <x:v>Resolution</x:v>
      </x:c>
      <x:c r="L29" s="58" t="str">
        <x:v>Plastic Reduction Works Better as a Practical Habit Than a Slogan</x:v>
      </x:c>
      <x:c r="M29" s="58" t="str">
        <x:v>Special Engagement</x:v>
      </x:c>
      <x:c r="N29" s="58" t="str">
        <x:v>Planned</x:v>
      </x:c>
      <x:c r="O29" s="58" t="str"/>
      <x:c r="P29" s="58" t="str">
        <x:f>IF(N29="Published",IF(G29="Published","Both Published",IF(G29="Skipped","Core Published / Overlay Skipped","Core Published / Overlay Pending")),IF(OR(G29="Published",G29="Skipped"),"Core Pending","Planned"))</x:f>
        <x:v>Planned</x:v>
      </x:c>
      <x:c r="Q29" s="58" t="str">
        <x:v>Morning: Current activity photo required. | Keep the claim proportional to the visible action. Core: follow v3.2 evidence/safeguarding rules.</x:v>
      </x:c>
      <x:c r="R29" s="58" t="str"/>
    </x:row>
    <x:row r="30">
      <x:c r="A30" s="54" t="n">
        <x:v>29</x:v>
      </x:c>
      <x:c r="B30" s="55" t="n">
        <x:v>46294</x:v>
      </x:c>
      <x:c r="C30" s="54" t="str">
        <x:v>9:00–10:00 AM</x:v>
      </x:c>
      <x:c r="D30" s="54" t="str">
        <x:v>FIELD-014</x:v>
      </x:c>
      <x:c r="E30" s="54" t="str">
        <x:v>FIELD</x:v>
      </x:c>
      <x:c r="F30" s="54" t="str">
        <x:v>Climate-friendly farming support — cultivation guidance, farmer discussion or seed-related activity.</x:v>
      </x:c>
      <x:c r="G30" s="54" t="str">
        <x:v>Planned</x:v>
      </x:c>
      <x:c r="H30" s="54" t="str"/>
      <x:c r="I30" s="54" t="str">
        <x:v>4:00–5:00 PM</x:v>
      </x:c>
      <x:c r="J30" s="54" t="str">
        <x:v>P29</x:v>
      </x:c>
      <x:c r="K30" s="54" t="str">
        <x:v>Issue</x:v>
      </x:c>
      <x:c r="L30" s="54" t="str">
        <x:v>Hotter, Harder Spaces Are Often Shaped by the Environment Around Us</x:v>
      </x:c>
      <x:c r="M30" s="54" t="str">
        <x:v>Standard</x:v>
      </x:c>
      <x:c r="N30" s="54" t="str">
        <x:v>Planned</x:v>
      </x:c>
      <x:c r="O30" s="54" t="str"/>
      <x:c r="P30" s="54" t="str">
        <x:f>IF(N30="Published",IF(G30="Published","Both Published",IF(G30="Skipped","Core Published / Overlay Skipped","Core Published / Overlay Pending")),IF(OR(G30="Published",G30="Skipped"),"Core Pending","Planned"))</x:f>
        <x:v>Planned</x:v>
      </x:c>
      <x:c r="Q30" s="54" t="str">
        <x:v>Morning: Use only when current activity is verified. | Do not imply income or yield improvement without evidence. Core: follow v3.2 evidence/safeguarding rules.</x:v>
      </x:c>
      <x:c r="R30" s="54" t="str"/>
    </x:row>
    <x:row r="31">
      <x:c r="A31" s="58" t="n">
        <x:v>30</x:v>
      </x:c>
      <x:c r="B31" s="59" t="n">
        <x:v>46295</x:v>
      </x:c>
      <x:c r="C31" s="58" t="str">
        <x:v>9:00–10:00 AM</x:v>
      </x:c>
      <x:c r="D31" s="58" t="str">
        <x:v>MOMENT-013</x:v>
      </x:c>
      <x:c r="E31" s="58" t="str">
        <x:v>MOMENT</x:v>
      </x:c>
      <x:c r="F31" s="58" t="str">
        <x:v>A conversation in the field — HSF interacting with a farmer about practical cultivation issues.</x:v>
      </x:c>
      <x:c r="G31" s="58" t="str">
        <x:v>Planned</x:v>
      </x:c>
      <x:c r="H31" s="58" t="str"/>
      <x:c r="I31" s="58" t="str">
        <x:v>4:00–5:00 PM</x:v>
      </x:c>
      <x:c r="J31" s="58" t="str">
        <x:v>P30</x:v>
      </x:c>
      <x:c r="K31" s="58" t="str">
        <x:v>Resolution</x:v>
      </x:c>
      <x:c r="L31" s="58" t="str">
        <x:v>Small Local Design Choices Can Improve Shade, Comfort and Resilience</x:v>
      </x:c>
      <x:c r="M31" s="58" t="str">
        <x:v>Standard</x:v>
      </x:c>
      <x:c r="N31" s="58" t="str">
        <x:v>Planned</x:v>
      </x:c>
      <x:c r="O31" s="58" t="str"/>
      <x:c r="P31" s="58" t="str">
        <x:f>IF(N31="Published",IF(G31="Published","Both Published",IF(G31="Skipped","Core Published / Overlay Skipped","Core Published / Overlay Pending")),IF(OR(G31="Published",G31="Skipped"),"Core Pending","Planned"))</x:f>
        <x:v>Planned</x:v>
      </x:c>
      <x:c r="Q31" s="58" t="str">
        <x:v>Morning: Current activity required. | No unsupported agronomic or livelihood outcome claim. Core: follow v3.2 evidence/safeguarding rules.</x:v>
      </x:c>
      <x:c r="R31" s="58" t="str"/>
    </x:row>
    <x:row r="32">
      <x:c r="A32" s="54" t="n">
        <x:v>31</x:v>
      </x:c>
      <x:c r="B32" s="55" t="n">
        <x:v>46296</x:v>
      </x:c>
      <x:c r="C32" s="54" t="str">
        <x:v>9:00–10:00 AM</x:v>
      </x:c>
      <x:c r="D32" s="54" t="str">
        <x:v>FIELD-015</x:v>
      </x:c>
      <x:c r="E32" s="54" t="str">
        <x:v>FIELD</x:v>
      </x:c>
      <x:c r="F32" s="54" t="str">
        <x:v>Nutrition and learning — healthy food or nutrition support at school if actually provided.</x:v>
      </x:c>
      <x:c r="G32" s="54" t="str">
        <x:v>Planned</x:v>
      </x:c>
      <x:c r="H32" s="54" t="str"/>
      <x:c r="I32" s="54" t="str">
        <x:v>4:00–5:00 PM</x:v>
      </x:c>
      <x:c r="J32" s="54" t="str">
        <x:v>P31</x:v>
      </x:c>
      <x:c r="K32" s="54" t="str">
        <x:v>Issue</x:v>
      </x:c>
      <x:c r="L32" s="54" t="str">
        <x:v>Hardship Narrows Choices, but It Should Not Reduce Human Dignity</x:v>
      </x:c>
      <x:c r="M32" s="54" t="str">
        <x:v>Standard</x:v>
      </x:c>
      <x:c r="N32" s="54" t="str">
        <x:v>Planned</x:v>
      </x:c>
      <x:c r="O32" s="54" t="str"/>
      <x:c r="P32" s="54" t="str">
        <x:f>IF(N32="Published",IF(G32="Published","Both Published",IF(G32="Skipped","Core Published / Overlay Skipped","Core Published / Overlay Pending")),IF(OR(G32="Published",G32="Skipped"),"Core Pending","Planned"))</x:f>
        <x:v>Planned</x:v>
      </x:c>
      <x:c r="Q32" s="54" t="str">
        <x:v>Morning: Use only if current provision/activity is verified. | Avoid implying medical/nutritional outcomes. Core: follow v3.2 evidence/safeguarding rules.</x:v>
      </x:c>
      <x:c r="R32" s="54" t="str"/>
    </x:row>
    <x:row r="33">
      <x:c r="A33" s="58" t="n">
        <x:v>32</x:v>
      </x:c>
      <x:c r="B33" s="59" t="n">
        <x:v>46297</x:v>
      </x:c>
      <x:c r="C33" s="58" t="str">
        <x:v>9:00–10:00 AM</x:v>
      </x:c>
      <x:c r="D33" s="58" t="str">
        <x:v>HSF-002</x:v>
      </x:c>
      <x:c r="E33" s="58" t="str">
        <x:v>HSF</x:v>
      </x:c>
      <x:c r="F33" s="58" t="str">
        <x:v>People preparing HSF's work — staff or volunteers organizing an education, health or community activity.</x:v>
      </x:c>
      <x:c r="G33" s="58" t="str">
        <x:v>Planned</x:v>
      </x:c>
      <x:c r="H33" s="58" t="str"/>
      <x:c r="I33" s="58" t="str">
        <x:v>4:00–5:00 PM</x:v>
      </x:c>
      <x:c r="J33" s="58" t="str">
        <x:v>P32</x:v>
      </x:c>
      <x:c r="K33" s="58" t="str">
        <x:v>Resolution</x:v>
      </x:c>
      <x:c r="L33" s="58" t="str">
        <x:v>Support Creates More Value When Choice and Respect Remain Visible</x:v>
      </x:c>
      <x:c r="M33" s="58" t="str">
        <x:v>Special Engagement</x:v>
      </x:c>
      <x:c r="N33" s="58" t="str">
        <x:v>Planned</x:v>
      </x:c>
      <x:c r="O33" s="58" t="str"/>
      <x:c r="P33" s="58" t="str">
        <x:f>IF(N33="Published",IF(G33="Published","Both Published",IF(G33="Skipped","Core Published / Overlay Skipped","Core Published / Overlay Pending")),IF(OR(G33="Published",G33="Skipped"),"Core Pending","Planned"))</x:f>
        <x:v>Planned</x:v>
      </x:c>
      <x:c r="Q33" s="58" t="str">
        <x:v>Morning: Current preparation activity required. | Do not expose internal sensitive documents. Core: follow v3.2 evidence/safeguarding rules.</x:v>
      </x:c>
      <x:c r="R33" s="58" t="str"/>
    </x:row>
    <x:row r="34">
      <x:c r="A34" s="54" t="n">
        <x:v>33</x:v>
      </x:c>
      <x:c r="B34" s="55" t="n">
        <x:v>46298</x:v>
      </x:c>
      <x:c r="C34" s="54" t="str">
        <x:v>9:00–10:00 AM</x:v>
      </x:c>
      <x:c r="D34" s="54" t="str">
        <x:v>FIELD-016</x:v>
      </x:c>
      <x:c r="E34" s="54" t="str">
        <x:v>FIELD</x:v>
      </x:c>
      <x:c r="F34" s="54" t="str">
        <x:v>Supporting livelihoods through practical knowledge — farmer guidance or another verified livelihood-support activity.</x:v>
      </x:c>
      <x:c r="G34" s="54" t="str">
        <x:v>Planned</x:v>
      </x:c>
      <x:c r="H34" s="54" t="str"/>
      <x:c r="I34" s="54" t="str">
        <x:v>4:00–5:00 PM</x:v>
      </x:c>
      <x:c r="J34" s="54" t="str">
        <x:v>P33</x:v>
      </x:c>
      <x:c r="K34" s="54" t="str">
        <x:v>Issue</x:v>
      </x:c>
      <x:c r="L34" s="54" t="str">
        <x:v>Lack of Money Should Not Mean Lack of a Starting Point</x:v>
      </x:c>
      <x:c r="M34" s="54" t="str">
        <x:v>Standard</x:v>
      </x:c>
      <x:c r="N34" s="54" t="str">
        <x:v>Planned</x:v>
      </x:c>
      <x:c r="O34" s="54" t="str"/>
      <x:c r="P34" s="54" t="str">
        <x:f>IF(N34="Published",IF(G34="Published","Both Published",IF(G34="Skipped","Core Published / Overlay Skipped","Core Published / Overlay Pending")),IF(OR(G34="Published",G34="Skipped"),"Core Pending","Planned"))</x:f>
        <x:v>Planned</x:v>
      </x:c>
      <x:c r="Q34" s="54" t="str">
        <x:v>Morning: Current verified livelihood activity required. | Avoid income-impact claims unless separately evidenced. Core: follow v3.2 evidence/safeguarding rules.</x:v>
      </x:c>
      <x:c r="R34" s="54" t="str"/>
    </x:row>
    <x:row r="35">
      <x:c r="A35" s="58" t="n">
        <x:v>34</x:v>
      </x:c>
      <x:c r="B35" s="59" t="n">
        <x:v>46299</x:v>
      </x:c>
      <x:c r="C35" s="58" t="str">
        <x:v>9:00–10:00 AM</x:v>
      </x:c>
      <x:c r="D35" s="58" t="str">
        <x:v>MOMENT-014</x:v>
      </x:c>
      <x:c r="E35" s="58" t="str">
        <x:v>MOMENT</x:v>
      </x:c>
      <x:c r="F35" s="58" t="str">
        <x:v>A volunteer at work — helping prepare materials, arrange an activity or support programme implementation.</x:v>
      </x:c>
      <x:c r="G35" s="58" t="str">
        <x:v>Planned</x:v>
      </x:c>
      <x:c r="H35" s="58" t="str"/>
      <x:c r="I35" s="58" t="str">
        <x:v>4:00–5:00 PM</x:v>
      </x:c>
      <x:c r="J35" s="58" t="str">
        <x:v>P34</x:v>
      </x:c>
      <x:c r="K35" s="58" t="str">
        <x:v>Resolution</x:v>
      </x:c>
      <x:c r="L35" s="58" t="str">
        <x:v>One Useful Skill Can Be Built Through a Small, Structured Learning Path</x:v>
      </x:c>
      <x:c r="M35" s="58" t="str">
        <x:v>Standard</x:v>
      </x:c>
      <x:c r="N35" s="58" t="str">
        <x:v>Planned</x:v>
      </x:c>
      <x:c r="O35" s="58" t="str"/>
      <x:c r="P35" s="58" t="str">
        <x:f>IF(N35="Published",IF(G35="Published","Both Published",IF(G35="Skipped","Core Published / Overlay Skipped","Core Published / Overlay Pending")),IF(OR(G35="Published",G35="Skipped"),"Core Pending","Planned"))</x:f>
        <x:v>Planned</x:v>
      </x:c>
      <x:c r="Q35" s="58" t="str">
        <x:v>Morning: Current volunteer activity required. | Use consent-appropriate imagery; keep role description factual. Core: follow v3.2 evidence/safeguarding rules.</x:v>
      </x:c>
      <x:c r="R35" s="58" t="str"/>
    </x:row>
    <x:row r="36">
      <x:c r="A36" s="54" t="n">
        <x:v>35</x:v>
      </x:c>
      <x:c r="B36" s="55" t="n">
        <x:v>46300</x:v>
      </x:c>
      <x:c r="C36" s="54" t="str">
        <x:v>9:00–10:00 AM</x:v>
      </x:c>
      <x:c r="D36" s="54" t="str">
        <x:v>OBS-003</x:v>
      </x:c>
      <x:c r="E36" s="54" t="str">
        <x:v>OBS</x:v>
      </x:c>
      <x:c r="F36" s="54" t="str">
        <x:v>World Teachers' Day — recognize HSF teachers through their actual work, not a generic greeting card.</x:v>
      </x:c>
      <x:c r="G36" s="54" t="str">
        <x:v>Planned</x:v>
      </x:c>
      <x:c r="H36" s="54" t="str"/>
      <x:c r="I36" s="54" t="str">
        <x:v>4:00–5:00 PM</x:v>
      </x:c>
      <x:c r="J36" s="54" t="str">
        <x:v>P35</x:v>
      </x:c>
      <x:c r="K36" s="54" t="str">
        <x:v>Issue</x:v>
      </x:c>
      <x:c r="L36" s="54" t="str">
        <x:v>Free Online Learning Helps Only When People Can Find and Use It Safely</x:v>
      </x:c>
      <x:c r="M36" s="54" t="str">
        <x:v>Standard</x:v>
      </x:c>
      <x:c r="N36" s="54" t="str">
        <x:v>Planned</x:v>
      </x:c>
      <x:c r="O36" s="54" t="str"/>
      <x:c r="P36" s="54" t="str">
        <x:f>IF(N36="Published",IF(G36="Published","Both Published",IF(G36="Skipped","Core Published / Overlay Skipped","Core Published / Overlay Pending")),IF(OR(G36="Published",G36="Skipped"),"Core Pending","Planned"))</x:f>
        <x:v>Planned</x:v>
      </x:c>
      <x:c r="Q36" s="54" t="str">
        <x:v>Morning: Verify official observance date/source before publication. | Focus on real teaching contribution; avoid unsupported performance claims. Core: follow v3.2 evidence/safeguarding rules.</x:v>
      </x:c>
      <x:c r="R36" s="54" t="str"/>
    </x:row>
    <x:row r="37">
      <x:c r="A37" s="58" t="n">
        <x:v>36</x:v>
      </x:c>
      <x:c r="B37" s="59" t="n">
        <x:v>46301</x:v>
      </x:c>
      <x:c r="C37" s="58" t="str">
        <x:v>9:00–10:00 AM</x:v>
      </x:c>
      <x:c r="D37" s="58" t="str">
        <x:v>MOMENT-015</x:v>
      </x:c>
      <x:c r="E37" s="58" t="str">
        <x:v>MOMENT</x:v>
      </x:c>
      <x:c r="F37" s="58" t="str">
        <x:v>Before students enter the classroom — lesson planning, checking work or teacher preparation.</x:v>
      </x:c>
      <x:c r="G37" s="58" t="str">
        <x:v>Planned</x:v>
      </x:c>
      <x:c r="H37" s="58" t="str"/>
      <x:c r="I37" s="58" t="str">
        <x:v>4:00–5:00 PM</x:v>
      </x:c>
      <x:c r="J37" s="58" t="str">
        <x:v>P36</x:v>
      </x:c>
      <x:c r="K37" s="58" t="str">
        <x:v>Resolution</x:v>
      </x:c>
      <x:c r="L37" s="58" t="str">
        <x:v>A Simple Digital Learning Routine Can Reduce Cost, Confusion and Risk</x:v>
      </x:c>
      <x:c r="M37" s="58" t="str">
        <x:v>Special Engagement</x:v>
      </x:c>
      <x:c r="N37" s="58" t="str">
        <x:v>Planned</x:v>
      </x:c>
      <x:c r="O37" s="58" t="str"/>
      <x:c r="P37" s="58" t="str">
        <x:f>IF(N37="Published",IF(G37="Published","Both Published",IF(G37="Skipped","Core Published / Overlay Skipped","Core Published / Overlay Pending")),IF(OR(G37="Published",G37="Skipped"),"Core Pending","Planned"))</x:f>
        <x:v>Planned</x:v>
      </x:c>
      <x:c r="Q37" s="58" t="str">
        <x:v>Morning: Current preparation moment required. | No student records visible. Core: follow v3.2 evidence/safeguarding rules.</x:v>
      </x:c>
      <x:c r="R37" s="58" t="str"/>
    </x:row>
    <x:row r="38">
      <x:c r="A38" s="54" t="n">
        <x:v>37</x:v>
      </x:c>
      <x:c r="B38" s="55" t="n">
        <x:v>46302</x:v>
      </x:c>
      <x:c r="C38" s="54" t="str">
        <x:v>9:00–10:00 AM</x:v>
      </x:c>
      <x:c r="D38" s="54" t="str">
        <x:v>FIELD-017</x:v>
      </x:c>
      <x:c r="E38" s="54" t="str">
        <x:v>FIELD</x:v>
      </x:c>
      <x:c r="F38" s="54" t="str">
        <x:v>Girls participating confidently in learning — classroom, reading, creative activity or presentation.</x:v>
      </x:c>
      <x:c r="G38" s="54" t="str">
        <x:v>Planned</x:v>
      </x:c>
      <x:c r="H38" s="54" t="str"/>
      <x:c r="I38" s="54" t="str">
        <x:v>4:00–5:00 PM</x:v>
      </x:c>
      <x:c r="J38" s="54" t="str">
        <x:v>P37</x:v>
      </x:c>
      <x:c r="K38" s="54" t="str">
        <x:v>Issue</x:v>
      </x:c>
      <x:c r="L38" s="54" t="str">
        <x:v>Opportunity Shrinks When Skills, Mobility and Confidence Are Restricted</x:v>
      </x:c>
      <x:c r="M38" s="54" t="str">
        <x:v>Standard</x:v>
      </x:c>
      <x:c r="N38" s="54" t="str">
        <x:v>Planned</x:v>
      </x:c>
      <x:c r="O38" s="54" t="str"/>
      <x:c r="P38" s="54" t="str">
        <x:f>IF(N38="Published",IF(G38="Published","Both Published",IF(G38="Skipped","Core Published / Overlay Skipped","Core Published / Overlay Pending")),IF(OR(G38="Published",G38="Skipped"),"Core Pending","Planned"))</x:f>
        <x:v>Planned</x:v>
      </x:c>
      <x:c r="Q38" s="54" t="str">
        <x:v>Morning: Current activity photo required. | Do not frame girls as passive beneficiaries; focus on participation and agency. Core: follow v3.2 evidence/safeguarding rules.</x:v>
      </x:c>
      <x:c r="R38" s="54" t="str"/>
    </x:row>
    <x:row r="39">
      <x:c r="A39" s="58" t="n">
        <x:v>38</x:v>
      </x:c>
      <x:c r="B39" s="59" t="n">
        <x:v>46303</x:v>
      </x:c>
      <x:c r="C39" s="58" t="str">
        <x:v>9:00–10:00 AM</x:v>
      </x:c>
      <x:c r="D39" s="58" t="str">
        <x:v>MOMENT-016</x:v>
      </x:c>
      <x:c r="E39" s="58" t="str">
        <x:v>MOMENT</x:v>
      </x:c>
      <x:c r="F39" s="58" t="str">
        <x:v>A girl sharing her ideas — learning, presenting or contributing in a group activity.</x:v>
      </x:c>
      <x:c r="G39" s="58" t="str">
        <x:v>Planned</x:v>
      </x:c>
      <x:c r="H39" s="58" t="str"/>
      <x:c r="I39" s="58" t="str">
        <x:v>4:00–5:00 PM</x:v>
      </x:c>
      <x:c r="J39" s="58" t="str">
        <x:v>P38</x:v>
      </x:c>
      <x:c r="K39" s="58" t="str">
        <x:v>Resolution</x:v>
      </x:c>
      <x:c r="L39" s="58" t="str">
        <x:v>Skills and Support Can Expand Choice When Agency Remains Central</x:v>
      </x:c>
      <x:c r="M39" s="58" t="str">
        <x:v>Standard</x:v>
      </x:c>
      <x:c r="N39" s="58" t="str">
        <x:v>Planned</x:v>
      </x:c>
      <x:c r="O39" s="58" t="str"/>
      <x:c r="P39" s="58" t="str">
        <x:f>IF(N39="Published",IF(G39="Published","Both Published",IF(G39="Skipped","Core Published / Overlay Skipped","Core Published / Overlay Pending")),IF(OR(G39="Published",G39="Skipped"),"Core Pending","Planned"))</x:f>
        <x:v>Planned</x:v>
      </x:c>
      <x:c r="Q39" s="58" t="str">
        <x:v>Morning: Current moment and appropriate consent required. | No unnecessary identifiers. Core: follow v3.2 evidence/safeguarding rules.</x:v>
      </x:c>
      <x:c r="R39" s="58" t="str"/>
    </x:row>
    <x:row r="40">
      <x:c r="A40" s="54" t="n">
        <x:v>39</x:v>
      </x:c>
      <x:c r="B40" s="55" t="n">
        <x:v>46304</x:v>
      </x:c>
      <x:c r="C40" s="54" t="str">
        <x:v>9:00–10:00 AM</x:v>
      </x:c>
      <x:c r="D40" s="54" t="str">
        <x:v>FIELD-018</x:v>
      </x:c>
      <x:c r="E40" s="54" t="str">
        <x:v>FIELD</x:v>
      </x:c>
      <x:c r="F40" s="54" t="str">
        <x:v>Respect and children's voices — a genuine HSF child-rights, participation or inclusion activity.</x:v>
      </x:c>
      <x:c r="G40" s="54" t="str">
        <x:v>Planned</x:v>
      </x:c>
      <x:c r="H40" s="54" t="str"/>
      <x:c r="I40" s="54" t="str">
        <x:v>4:00–5:00 PM</x:v>
      </x:c>
      <x:c r="J40" s="54" t="str">
        <x:v>P39</x:v>
      </x:c>
      <x:c r="K40" s="54" t="str">
        <x:v>Issue</x:v>
      </x:c>
      <x:c r="L40" s="54" t="str">
        <x:v>Rights Are Tested in Ordinary Moments, Not Only in Courtrooms</x:v>
      </x:c>
      <x:c r="M40" s="54" t="str">
        <x:v>Standard</x:v>
      </x:c>
      <x:c r="N40" s="54" t="str">
        <x:v>Planned</x:v>
      </x:c>
      <x:c r="O40" s="54" t="str"/>
      <x:c r="P40" s="54" t="str">
        <x:f>IF(N40="Published",IF(G40="Published","Both Published",IF(G40="Skipped","Core Published / Overlay Skipped","Core Published / Overlay Pending")),IF(OR(G40="Published",G40="Skipped"),"Core Pending","Planned"))</x:f>
        <x:v>Planned</x:v>
      </x:c>
      <x:c r="Q40" s="54" t="str">
        <x:v>Morning: Use only if current activity is documented. | Safeguarding review required. Core: follow v3.2 evidence/safeguarding rules.</x:v>
      </x:c>
      <x:c r="R40" s="54" t="str"/>
    </x:row>
    <x:row r="41">
      <x:c r="A41" s="58" t="n">
        <x:v>40</x:v>
      </x:c>
      <x:c r="B41" s="59" t="n">
        <x:v>46305</x:v>
      </x:c>
      <x:c r="C41" s="58" t="str">
        <x:v>9:00–10:00 AM</x:v>
      </x:c>
      <x:c r="D41" s="58" t="str">
        <x:v>MOMENT-017</x:v>
      </x:c>
      <x:c r="E41" s="58" t="str">
        <x:v>MOMENT</x:v>
      </x:c>
      <x:c r="F41" s="58" t="str">
        <x:v>Everyone gets a place to participate — an ordinary classroom/community moment showing inclusion and respect.</x:v>
      </x:c>
      <x:c r="G41" s="58" t="str">
        <x:v>Planned</x:v>
      </x:c>
      <x:c r="H41" s="58" t="str"/>
      <x:c r="I41" s="58" t="str">
        <x:v>4:00–5:00 PM</x:v>
      </x:c>
      <x:c r="J41" s="58" t="str">
        <x:v>P40</x:v>
      </x:c>
      <x:c r="K41" s="58" t="str">
        <x:v>Resolution</x:v>
      </x:c>
      <x:c r="L41" s="58" t="str">
        <x:v>Respect Becomes Real Through Everyday Behaviour</x:v>
      </x:c>
      <x:c r="M41" s="58" t="str">
        <x:v>Special Engagement</x:v>
      </x:c>
      <x:c r="N41" s="58" t="str">
        <x:v>Planned</x:v>
      </x:c>
      <x:c r="O41" s="58" t="str"/>
      <x:c r="P41" s="58" t="str">
        <x:f>IF(N41="Published",IF(G41="Published","Both Published",IF(G41="Skipped","Core Published / Overlay Skipped","Core Published / Overlay Pending")),IF(OR(G41="Published",G41="Skipped"),"Core Pending","Planned"))</x:f>
        <x:v>Planned</x:v>
      </x:c>
      <x:c r="Q41" s="58" t="str">
        <x:v>Morning: Current activity photo required. | Avoid labelling any person by vulnerability or disability unless specifically appropriate/approved. Core: follow v3.2 evidence/safeguarding rules.</x:v>
      </x:c>
      <x:c r="R41" s="58" t="str"/>
    </x:row>
    <x:row r="42">
      <x:c r="A42" s="54" t="n">
        <x:v>41</x:v>
      </x:c>
      <x:c r="B42" s="55" t="n">
        <x:v>46306</x:v>
      </x:c>
      <x:c r="C42" s="54" t="str">
        <x:v>9:00–10:00 AM</x:v>
      </x:c>
      <x:c r="D42" s="54" t="str">
        <x:v>OBS-004</x:v>
      </x:c>
      <x:c r="E42" s="54" t="str">
        <x:v>OBS</x:v>
      </x:c>
      <x:c r="F42" s="54" t="str">
        <x:v>International Day of the Girl — focus on education, opportunity, voice and future choices.</x:v>
      </x:c>
      <x:c r="G42" s="54" t="str">
        <x:v>Planned</x:v>
      </x:c>
      <x:c r="H42" s="54" t="str"/>
      <x:c r="I42" s="54" t="str">
        <x:v>4:00–5:00 PM</x:v>
      </x:c>
      <x:c r="J42" s="54" t="str">
        <x:v>P41</x:v>
      </x:c>
      <x:c r="K42" s="54" t="str">
        <x:v>Issue</x:v>
      </x:c>
      <x:c r="L42" s="54" t="str">
        <x:v>Exclusion Can Be Quiet and Still Cause Harm</x:v>
      </x:c>
      <x:c r="M42" s="54" t="str">
        <x:v>Standard</x:v>
      </x:c>
      <x:c r="N42" s="54" t="str">
        <x:v>Planned</x:v>
      </x:c>
      <x:c r="O42" s="54" t="str"/>
      <x:c r="P42" s="54" t="str">
        <x:f>IF(N42="Published",IF(G42="Published","Both Published",IF(G42="Skipped","Core Published / Overlay Skipped","Core Published / Overlay Pending")),IF(OR(G42="Published",G42="Skipped"),"Core Pending","Planned"))</x:f>
        <x:v>Planned</x:v>
      </x:c>
      <x:c r="Q42" s="54" t="str">
        <x:v>Morning: Verify official observance date/source before publication. | Use dignity- and agency-centred language. Core: follow v3.2 evidence/safeguarding rules.</x:v>
      </x:c>
      <x:c r="R42" s="54" t="str"/>
    </x:row>
    <x:row r="43">
      <x:c r="A43" s="58" t="n">
        <x:v>42</x:v>
      </x:c>
      <x:c r="B43" s="59" t="n">
        <x:v>46307</x:v>
      </x:c>
      <x:c r="C43" s="58" t="str">
        <x:v>9:00–10:00 AM</x:v>
      </x:c>
      <x:c r="D43" s="58" t="str">
        <x:v>FIELD-019</x:v>
      </x:c>
      <x:c r="E43" s="58" t="str">
        <x:v>FIELD</x:v>
      </x:c>
      <x:c r="F43" s="58" t="str">
        <x:v>Learning together — boys and girls participating in a collaborative classroom activity.</x:v>
      </x:c>
      <x:c r="G43" s="58" t="str">
        <x:v>Planned</x:v>
      </x:c>
      <x:c r="H43" s="58" t="str"/>
      <x:c r="I43" s="58" t="str">
        <x:v>4:00–5:00 PM</x:v>
      </x:c>
      <x:c r="J43" s="58" t="str">
        <x:v>P42</x:v>
      </x:c>
      <x:c r="K43" s="58" t="str">
        <x:v>Resolution</x:v>
      </x:c>
      <x:c r="L43" s="58" t="str">
        <x:v>Inclusive Participation Can Be Built Through Small, Repeatable Practices</x:v>
      </x:c>
      <x:c r="M43" s="58" t="str">
        <x:v>Standard</x:v>
      </x:c>
      <x:c r="N43" s="58" t="str">
        <x:v>Planned</x:v>
      </x:c>
      <x:c r="O43" s="58" t="str"/>
      <x:c r="P43" s="58" t="str">
        <x:f>IF(N43="Published",IF(G43="Published","Both Published",IF(G43="Skipped","Core Published / Overlay Skipped","Core Published / Overlay Pending")),IF(OR(G43="Published",G43="Skipped"),"Core Pending","Planned"))</x:f>
        <x:v>Planned</x:v>
      </x:c>
      <x:c r="Q43" s="58" t="str">
        <x:v>Morning: Current classroom activity required. | Keep caption on participation and learning environment. Core: follow v3.2 evidence/safeguarding rules.</x:v>
      </x:c>
      <x:c r="R43" s="58" t="str"/>
    </x:row>
    <x:row r="44">
      <x:c r="A44" s="54" t="n">
        <x:v>43</x:v>
      </x:c>
      <x:c r="B44" s="55" t="n">
        <x:v>46308</x:v>
      </x:c>
      <x:c r="C44" s="54" t="str">
        <x:v>9:00–10:00 AM</x:v>
      </x:c>
      <x:c r="D44" s="54" t="str">
        <x:v>OBS-005</x:v>
      </x:c>
      <x:c r="E44" s="54" t="str">
        <x:v>OBS</x:v>
      </x:c>
      <x:c r="F44" s="54" t="str">
        <x:v>International Day for Disaster Risk Reduction — connect preparedness with real HSF resilience/community activity.</x:v>
      </x:c>
      <x:c r="G44" s="54" t="str">
        <x:v>Planned</x:v>
      </x:c>
      <x:c r="H44" s="54" t="str"/>
      <x:c r="I44" s="54" t="str">
        <x:v>4:00–5:00 PM</x:v>
      </x:c>
      <x:c r="J44" s="54" t="str">
        <x:v>P43</x:v>
      </x:c>
      <x:c r="K44" s="54" t="str">
        <x:v>Issue</x:v>
      </x:c>
      <x:c r="L44" s="54" t="str">
        <x:v>A Helpful-Looking Post Can Still Be Wrong</x:v>
      </x:c>
      <x:c r="M44" s="54" t="str">
        <x:v>Standard</x:v>
      </x:c>
      <x:c r="N44" s="54" t="str">
        <x:v>Planned</x:v>
      </x:c>
      <x:c r="O44" s="54" t="str"/>
      <x:c r="P44" s="54" t="str">
        <x:f>IF(N44="Published",IF(G44="Published","Both Published",IF(G44="Skipped","Core Published / Overlay Skipped","Core Published / Overlay Pending")),IF(OR(G44="Published",G44="Skipped"),"Core Pending","Planned"))</x:f>
        <x:v>Planned</x:v>
      </x:c>
      <x:c r="Q44" s="54" t="str">
        <x:v>Morning: Verify official observance date/theme/source before publication. | Do not overstate HSF's disaster-management role. Core: follow v3.2 evidence/safeguarding rules.</x:v>
      </x:c>
      <x:c r="R44" s="54" t="str"/>
    </x:row>
    <x:row r="45">
      <x:c r="A45" s="58" t="n">
        <x:v>44</x:v>
      </x:c>
      <x:c r="B45" s="59" t="n">
        <x:v>46309</x:v>
      </x:c>
      <x:c r="C45" s="58" t="str">
        <x:v>9:00–10:00 AM</x:v>
      </x:c>
      <x:c r="D45" s="58" t="str">
        <x:v>HSF-003</x:v>
      </x:c>
      <x:c r="E45" s="58" t="str">
        <x:v>HSF</x:v>
      </x:c>
      <x:c r="F45" s="58" t="str">
        <x:v>Before HSF shares a story, the information should be checked — staff reviewing field notes, photos or activity information.</x:v>
      </x:c>
      <x:c r="G45" s="58" t="str">
        <x:v>Planned</x:v>
      </x:c>
      <x:c r="H45" s="58" t="str"/>
      <x:c r="I45" s="58" t="str">
        <x:v>4:00–5:00 PM</x:v>
      </x:c>
      <x:c r="J45" s="58" t="str">
        <x:v>P44</x:v>
      </x:c>
      <x:c r="K45" s="58" t="str">
        <x:v>Resolution</x:v>
      </x:c>
      <x:c r="L45" s="58" t="str">
        <x:v>Pause, Check, Then Share</x:v>
      </x:c>
      <x:c r="M45" s="58" t="str">
        <x:v>Special Engagement</x:v>
      </x:c>
      <x:c r="N45" s="58" t="str">
        <x:v>Planned</x:v>
      </x:c>
      <x:c r="O45" s="58" t="str"/>
      <x:c r="P45" s="58" t="str">
        <x:f>IF(N45="Published",IF(G45="Published","Both Published",IF(G45="Skipped","Core Published / Overlay Skipped","Core Published / Overlay Pending")),IF(OR(G45="Published",G45="Skipped"),"Core Pending","Planned"))</x:f>
        <x:v>Planned</x:v>
      </x:c>
      <x:c r="Q45" s="58" t="str">
        <x:v>Morning: Current internal review activity; no sensitive data visible. | Demonstrate evidence culture without exposing raw operational records. Core: follow v3.2 evidence/safeguarding rules.</x:v>
      </x:c>
      <x:c r="R45" s="58" t="str"/>
    </x:row>
    <x:row r="46">
      <x:c r="A46" s="54" t="n">
        <x:v>45</x:v>
      </x:c>
      <x:c r="B46" s="55" t="n">
        <x:v>46310</x:v>
      </x:c>
      <x:c r="C46" s="54" t="str">
        <x:v>9:00–10:00 AM</x:v>
      </x:c>
      <x:c r="D46" s="54" t="str">
        <x:v>OBS-006</x:v>
      </x:c>
      <x:c r="E46" s="54" t="str">
        <x:v>OBS</x:v>
      </x:c>
      <x:c r="F46" s="54" t="str">
        <x:v>Global Handwashing Day — handwashing or hygiene practice with children/community participants.</x:v>
      </x:c>
      <x:c r="G46" s="54" t="str">
        <x:v>Planned</x:v>
      </x:c>
      <x:c r="H46" s="54" t="str"/>
      <x:c r="I46" s="54" t="str">
        <x:v>4:00–5:00 PM</x:v>
      </x:c>
      <x:c r="J46" s="54" t="str">
        <x:v>P45</x:v>
      </x:c>
      <x:c r="K46" s="54" t="str">
        <x:v>Issue</x:v>
      </x:c>
      <x:c r="L46" s="54" t="str">
        <x:v>A Number Without Context Can Mislead</x:v>
      </x:c>
      <x:c r="M46" s="54" t="str">
        <x:v>Standard</x:v>
      </x:c>
      <x:c r="N46" s="54" t="str">
        <x:v>Planned</x:v>
      </x:c>
      <x:c r="O46" s="54" t="str"/>
      <x:c r="P46" s="54" t="str">
        <x:f>IF(N46="Published",IF(G46="Published","Both Published",IF(G46="Skipped","Core Published / Overlay Skipped","Core Published / Overlay Pending")),IF(OR(G46="Published",G46="Skipped"),"Core Pending","Planned"))</x:f>
        <x:v>Planned</x:v>
      </x:c>
      <x:c r="Q46" s="54" t="str">
        <x:v>Morning: Verify official observance date/source before publication. | Use current HSF activity if possible; otherwise do not stage. Core: follow v3.2 evidence/safeguarding rules.</x:v>
      </x:c>
      <x:c r="R46" s="54" t="str"/>
    </x:row>
    <x:row r="47">
      <x:c r="A47" s="58" t="n">
        <x:v>46</x:v>
      </x:c>
      <x:c r="B47" s="59" t="n">
        <x:v>46311</x:v>
      </x:c>
      <x:c r="C47" s="58" t="str">
        <x:v>9:00–10:00 AM</x:v>
      </x:c>
      <x:c r="D47" s="58" t="str">
        <x:v>OBS-007</x:v>
      </x:c>
      <x:c r="E47" s="58" t="str">
        <x:v>OBS</x:v>
      </x:c>
      <x:c r="F47" s="58" t="str">
        <x:v>World Food Day — connect only to a real HSF nutrition, healthy-food or farmer activity.</x:v>
      </x:c>
      <x:c r="G47" s="58" t="str">
        <x:v>Planned</x:v>
      </x:c>
      <x:c r="H47" s="58" t="str"/>
      <x:c r="I47" s="58" t="str">
        <x:v>4:00–5:00 PM</x:v>
      </x:c>
      <x:c r="J47" s="58" t="str">
        <x:v>P46</x:v>
      </x:c>
      <x:c r="K47" s="58" t="str">
        <x:v>Resolution</x:v>
      </x:c>
      <x:c r="L47" s="58" t="str">
        <x:v>Responsible Public Claims Should Show Scope, Period and Source</x:v>
      </x:c>
      <x:c r="M47" s="58" t="str">
        <x:v>Standard</x:v>
      </x:c>
      <x:c r="N47" s="58" t="str">
        <x:v>Planned</x:v>
      </x:c>
      <x:c r="O47" s="58" t="str"/>
      <x:c r="P47" s="58" t="str">
        <x:f>IF(N47="Published",IF(G47="Published","Both Published",IF(G47="Skipped","Core Published / Overlay Skipped","Core Published / Overlay Pending")),IF(OR(G47="Published",G47="Skipped"),"Core Pending","Planned"))</x:f>
        <x:v>Planned</x:v>
      </x:c>
      <x:c r="Q47" s="58" t="str">
        <x:v>Morning: Verify official observance date/source and current HSF connection. | Avoid broad food-security claims unsupported by HSF data. Core: follow v3.2 evidence/safeguarding rules.</x:v>
      </x:c>
      <x:c r="R47" s="58" t="str"/>
    </x:row>
    <x:row r="48">
      <x:c r="A48" s="54" t="n">
        <x:v>47</x:v>
      </x:c>
      <x:c r="B48" s="55" t="n">
        <x:v>46312</x:v>
      </x:c>
      <x:c r="C48" s="54" t="str">
        <x:v>9:00–10:00 AM</x:v>
      </x:c>
      <x:c r="D48" s="54" t="str">
        <x:v>OBS-008</x:v>
      </x:c>
      <x:c r="E48" s="54" t="str">
        <x:v>OBS</x:v>
      </x:c>
      <x:c r="F48" s="54" t="str">
        <x:v>International Day for the Eradication of Poverty — communicate dignity and access to education/health rather than suffering.</x:v>
      </x:c>
      <x:c r="G48" s="54" t="str">
        <x:v>Planned</x:v>
      </x:c>
      <x:c r="H48" s="54" t="str"/>
      <x:c r="I48" s="54" t="str">
        <x:v>4:00–5:00 PM</x:v>
      </x:c>
      <x:c r="J48" s="54" t="str">
        <x:v>P47</x:v>
      </x:c>
      <x:c r="K48" s="54" t="str">
        <x:v>Issue</x:v>
      </x:c>
      <x:c r="L48" s="54" t="str">
        <x:v>Good Intentions Create More Value When They Become Useful Action</x:v>
      </x:c>
      <x:c r="M48" s="54" t="str">
        <x:v>Standard</x:v>
      </x:c>
      <x:c r="N48" s="54" t="str">
        <x:v>Planned</x:v>
      </x:c>
      <x:c r="O48" s="54" t="str"/>
      <x:c r="P48" s="54" t="str">
        <x:f>IF(N48="Published",IF(G48="Published","Both Published",IF(G48="Skipped","Core Published / Overlay Skipped","Core Published / Overlay Pending")),IF(OR(G48="Published",G48="Skipped"),"Core Pending","Planned"))</x:f>
        <x:v>Planned</x:v>
      </x:c>
      <x:c r="Q48" s="54" t="str">
        <x:v>Morning: Verify official observance date/source before publication. | No exploitative poverty imagery or exaggerated impact claims. Core: follow v3.2 evidence/safeguarding rules.</x:v>
      </x:c>
      <x:c r="R48" s="54" t="str"/>
    </x:row>
    <x:row r="49">
      <x:c r="A49" s="58" t="n">
        <x:v>48</x:v>
      </x:c>
      <x:c r="B49" s="59" t="n">
        <x:v>46313</x:v>
      </x:c>
      <x:c r="C49" s="58" t="str">
        <x:v>9:00–10:00 AM</x:v>
      </x:c>
      <x:c r="D49" s="58" t="str">
        <x:v>HSF-004</x:v>
      </x:c>
      <x:c r="E49" s="58" t="str">
        <x:v>HSF</x:v>
      </x:c>
      <x:c r="F49" s="58" t="str">
        <x:v>48 days of HSF in Action — a visual reflection on people, programmes and everyday work documented during the cycle.</x:v>
      </x:c>
      <x:c r="G49" s="58" t="str">
        <x:v>Planned</x:v>
      </x:c>
      <x:c r="H49" s="58" t="str"/>
      <x:c r="I49" s="58" t="str">
        <x:v>4:00–5:00 PM</x:v>
      </x:c>
      <x:c r="J49" s="58" t="str">
        <x:v>P48</x:v>
      </x:c>
      <x:c r="K49" s="58" t="str">
        <x:v>Resolution</x:v>
      </x:c>
      <x:c r="L49" s="58" t="str">
        <x:v>From Empathy to Action: One Responsible Contribution Is Enough to Start</x:v>
      </x:c>
      <x:c r="M49" s="58" t="str">
        <x:v>Special Engagement</x:v>
      </x:c>
      <x:c r="N49" s="58" t="str">
        <x:v>Planned</x:v>
      </x:c>
      <x:c r="O49" s="58" t="str"/>
      <x:c r="P49" s="58" t="str">
        <x:f>IF(N49="Published",IF(G49="Published","Both Published",IF(G49="Skipped","Core Published / Overlay Skipped","Core Published / Overlay Pending")),IF(OR(G49="Published",G49="Skipped"),"Core Pending","Planned"))</x:f>
        <x:v>Planned</x:v>
      </x:c>
      <x:c r="Q49" s="58" t="str">
        <x:v>Morning: Use only published/approved photos and verified activities from the cycle. | Summarize documented activity; do not convert activity volume into unsupported impact. Core: follow v3.2 evidence/safeguarding rules.</x:v>
      </x:c>
      <x:c r="R49" s="58" t="str"/>
    </x:row>
  </x:sheetData>
  <x:conditionalFormatting sqref="G2:G49">
    <x:cfRule type="expression" dxfId="10" priority="1">
      <x:formula>G2="Published"</x:formula>
    </x:cfRule>
    <x:cfRule type="expression" dxfId="11" priority="2">
      <x:formula>G2="Next"</x:formula>
    </x:cfRule>
  </x:conditionalFormatting>
  <x:conditionalFormatting sqref="N2:N49">
    <x:cfRule type="expression" dxfId="12" priority="3">
      <x:formula>N2="Published"</x:formula>
    </x:cfRule>
    <x:cfRule type="expression" dxfId="13" priority="4">
      <x:formula>N2="Next"</x:formula>
    </x:cfRule>
  </x:conditionalFormatting>
  <x:conditionalFormatting sqref="P2:P49">
    <x:cfRule type="expression" dxfId="14" priority="5">
      <x:formula>P2="Both Published"</x:formula>
    </x:cfRule>
    <x:cfRule type="expression" dxfId="15" priority="6">
      <x:formula>P2="Core Published / Overlay Skipped"</x:formula>
    </x:cfRule>
  </x:conditionalFormatting>
  <x:dataValidations count="2">
    <x:dataValidation type="list" sqref="G2:G49">
      <x:formula1>"Planned,Next,Drafting,Ready,Scheduled,Published,Skipped,Held"</x:formula1>
    </x:dataValidation>
    <x:dataValidation type="list" sqref="N2:N49">
      <x:formula1>"Planned,Next,Drafting,Ready,Scheduled,Published,Held"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ba2833c7bb84a09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4" max="4" width="24" hidden="0" customWidth="1"/>
    <x:col min="5" max="5" width="24" hidden="0" customWidth="1"/>
    <x:col min="7" max="7" width="24" hidden="0" customWidth="1"/>
    <x:col min="8" max="8" width="24" hidden="0" customWidth="1"/>
  </x:cols>
  <x:sheetData>
    <x:row r="1" ht="30" customHeight="1">
      <x:c r="A1" s="63" t="str">
        <x:v>HSF Social Communication — 48-Day Cycle Dashboard</x:v>
      </x:c>
      <x:c r="B1" s="63"/>
      <x:c r="C1" s="63"/>
      <x:c r="D1" s="63"/>
      <x:c r="E1" s="63"/>
      <x:c r="F1" s="63"/>
      <x:c r="G1" s="63"/>
      <x:c r="H1" s="63"/>
      <x:c r="I1" s="63"/>
      <x:c r="J1" s="63"/>
    </x:row>
    <x:row r="3">
      <x:c r="A3" s="33" t="str">
        <x:v>KPI</x:v>
      </x:c>
      <x:c r="B3" s="33" t="str">
        <x:v>Value</x:v>
      </x:c>
      <x:c r="D3" s="33" t="str">
        <x:v>Overlay Category</x:v>
      </x:c>
      <x:c r="E3" s="33" t="str">
        <x:v>Planned Slots</x:v>
      </x:c>
      <x:c r="G3" s="33" t="str">
        <x:v>Status</x:v>
      </x:c>
      <x:c r="H3" s="33" t="str">
        <x:v>Count</x:v>
      </x:c>
    </x:row>
    <x:row r="4">
      <x:c r="A4" t="str">
        <x:v>Cycle start</x:v>
      </x:c>
      <x:c r="B4" s="37" t="n">
        <x:v>46266</x:v>
      </x:c>
      <x:c r="D4" t="str">
        <x:v>FIELD</x:v>
      </x:c>
      <x:c r="E4" t="n">
        <x:f>COUNTIF('HSF in Action'!D2:D49,D4)</x:f>
        <x:v>19</x:v>
      </x:c>
      <x:c r="G4" t="str">
        <x:v>Morning Published</x:v>
      </x:c>
      <x:c r="H4" t="n">
        <x:f>COUNTIF('48-Day Tracker'!G2:G49,"Published")</x:f>
        <x:v>1</x:v>
      </x:c>
    </x:row>
    <x:row r="5">
      <x:c r="A5" t="str">
        <x:v>Cycle end</x:v>
      </x:c>
      <x:c r="B5" s="37" t="n">
        <x:v>46313</x:v>
      </x:c>
      <x:c r="D5" t="str">
        <x:v>MOMENT</x:v>
      </x:c>
      <x:c r="E5" t="n">
        <x:f>COUNTIF('HSF in Action'!D2:D49,D5)</x:f>
        <x:v>17</x:v>
      </x:c>
      <x:c r="G5" t="str">
        <x:v>Morning Next</x:v>
      </x:c>
      <x:c r="H5" t="n">
        <x:f>COUNTIF('48-Day Tracker'!G2:G49,"Next")</x:f>
        <x:v>1</x:v>
      </x:c>
    </x:row>
    <x:row r="6">
      <x:c r="A6" t="str">
        <x:v>Core posts published</x:v>
      </x:c>
      <x:c r="B6" t="n">
        <x:f>COUNTIF('48-Day Tracker'!N2:N49,"Published")</x:f>
        <x:v>1</x:v>
      </x:c>
      <x:c r="D6" t="str">
        <x:v>EVENT</x:v>
      </x:c>
      <x:c r="E6" t="n">
        <x:f>COUNTIF('HSF in Action'!D2:D49,D6)</x:f>
        <x:v>0</x:v>
      </x:c>
      <x:c r="G6" t="str">
        <x:v>Morning Planned</x:v>
      </x:c>
      <x:c r="H6" t="n">
        <x:f>COUNTIF('48-Day Tracker'!G2:G49,"Planned")</x:f>
        <x:v>46</x:v>
      </x:c>
    </x:row>
    <x:row r="7">
      <x:c r="A7" t="str">
        <x:v>Morning overlays published</x:v>
      </x:c>
      <x:c r="B7" t="n">
        <x:f>COUNTIF('48-Day Tracker'!G2:G49,"Published")</x:f>
        <x:v>1</x:v>
      </x:c>
      <x:c r="D7" t="str">
        <x:v>OBS</x:v>
      </x:c>
      <x:c r="E7" t="n">
        <x:f>COUNTIF('HSF in Action'!D2:D49,D7)</x:f>
        <x:v>8</x:v>
      </x:c>
      <x:c r="G7" t="str">
        <x:v>Core Published</x:v>
      </x:c>
      <x:c r="H7" t="n">
        <x:f>COUNTIF('48-Day Tracker'!N2:N49,"Published")</x:f>
        <x:v>1</x:v>
      </x:c>
    </x:row>
    <x:row r="8">
      <x:c r="A8" t="str">
        <x:v>Morning overlays skipped</x:v>
      </x:c>
      <x:c r="B8" t="n">
        <x:f>COUNTIF('48-Day Tracker'!G2:G49,"Skipped")</x:f>
        <x:v>0</x:v>
      </x:c>
      <x:c r="D8" t="str">
        <x:v>HSF</x:v>
      </x:c>
      <x:c r="E8" t="n">
        <x:f>COUNTIF('HSF in Action'!D2:D49,D8)</x:f>
        <x:v>4</x:v>
      </x:c>
      <x:c r="G8" t="str">
        <x:v>Core Next</x:v>
      </x:c>
      <x:c r="H8" t="n">
        <x:f>COUNTIF('48-Day Tracker'!N2:N49,"Next")</x:f>
        <x:v>1</x:v>
      </x:c>
    </x:row>
    <x:row r="9">
      <x:c r="A9" t="str">
        <x:v>Days with both posts published</x:v>
      </x:c>
      <x:c r="B9" t="n">
        <x:f>COUNTIF('48-Day Tracker'!P2:P49,"Both Published")</x:f>
        <x:v>1</x:v>
      </x:c>
      <x:c r="D9" t="str">
        <x:v>Total</x:v>
      </x:c>
      <x:c r="E9" t="n">
        <x:f>SUM(E4:E8)</x:f>
        <x:v>48</x:v>
      </x:c>
      <x:c r="G9" t="str">
        <x:v>Core Planned</x:v>
      </x:c>
      <x:c r="H9" t="n">
        <x:f>COUNTIF('48-Day Tracker'!N2:N49,"Planned")</x:f>
        <x:v>46</x:v>
      </x:c>
    </x:row>
    <x:row r="10">
      <x:c r="A10" t="str">
        <x:v>Core progress</x:v>
      </x:c>
      <x:c r="B10" s="64" t="n">
        <x:f>B6/48</x:f>
        <x:v>0.020833333333333332</x:v>
      </x:c>
      <x:c r="G10" t="str">
        <x:v>Complete Days</x:v>
      </x:c>
      <x:c r="H10" t="n">
        <x:f>COUNTIF('48-Day Tracker'!P2:P49,"Both Published")</x:f>
        <x:v>1</x:v>
      </x:c>
    </x:row>
    <x:row r="13">
      <x:c r="A13" s="66" t="str">
        <x:v>Operating model</x:v>
      </x:c>
      <x:c r="B13" s="66"/>
      <x:c r="C13" s="66"/>
      <x:c r="D13" s="66"/>
      <x:c r="E13" s="66"/>
      <x:c r="F13" s="66"/>
      <x:c r="G13" s="66"/>
      <x:c r="H13" s="66"/>
      <x:c r="I13" s="66"/>
      <x:c r="J13" s="66"/>
    </x:row>
    <x:row r="14">
      <x:c r="A14" s="68" t="str">
        <x:v>Morning (about 9:00–10:00 AM): HSF in Action — FIELD / MOMENT / EVENT / OBS / HSF.
Afternoon (about 4:00–5:00 PM): HSF Knowledge &amp; Awareness — one locked P01–P48 core post per day.
Each Issue → Resolution pair spans two consecutive days.
Morning ideas are planning slots, not proof that an activity occurred. Publish only when the activity is real, safe and sufficiently evidenced.</x:v>
      </x:c>
      <x:c r="B14" s="68"/>
      <x:c r="C14" s="68"/>
      <x:c r="D14" s="14"/>
      <x:c r="E14" s="14"/>
      <x:c r="F14" s="14"/>
      <x:c r="G14" s="14"/>
      <x:c r="H14" s="14"/>
      <x:c r="I14" s="14"/>
      <x:c r="J14" s="14"/>
    </x:row>
    <x:row r="15">
      <x:c r="A15" s="68"/>
      <x:c r="B15" s="68"/>
      <x:c r="C15" s="68"/>
      <x:c r="D15" s="14"/>
      <x:c r="E15" s="14"/>
      <x:c r="F15" s="14"/>
      <x:c r="G15" s="14"/>
      <x:c r="H15" s="14"/>
      <x:c r="I15" s="14"/>
      <x:c r="J15" s="14"/>
    </x:row>
    <x:row r="16">
      <x:c r="A16" s="68"/>
      <x:c r="B16" s="68"/>
      <x:c r="C16" s="68"/>
      <x:c r="D16" s="14"/>
      <x:c r="E16" s="14"/>
      <x:c r="F16" s="14"/>
      <x:c r="G16" s="14"/>
      <x:c r="H16" s="14"/>
      <x:c r="I16" s="14"/>
      <x:c r="J16" s="14"/>
    </x:row>
    <x:row r="17">
      <x:c r="A17" s="68"/>
      <x:c r="B17" s="68"/>
      <x:c r="C17" s="68"/>
      <x:c r="D17" s="14"/>
      <x:c r="E17" s="14"/>
      <x:c r="F17" s="14"/>
      <x:c r="G17" s="14"/>
      <x:c r="H17" s="14"/>
      <x:c r="I17" s="14"/>
      <x:c r="J17" s="14"/>
    </x:row>
    <x:row r="18">
      <x:c r="A18" s="68"/>
      <x:c r="B18" s="68"/>
      <x:c r="C18" s="68"/>
      <x:c r="D18" s="14"/>
      <x:c r="E18" s="14"/>
      <x:c r="F18" s="14"/>
      <x:c r="G18" s="14"/>
      <x:c r="H18" s="14"/>
      <x:c r="I18" s="14"/>
      <x:c r="J18" s="14"/>
    </x:row>
    <x:row r="19">
      <x:c r="A19" s="68"/>
      <x:c r="B19" s="68"/>
      <x:c r="C19" s="68"/>
      <x:c r="D19" s="14"/>
      <x:c r="E19" s="14"/>
      <x:c r="F19" s="14"/>
      <x:c r="G19" s="14"/>
      <x:c r="H19" s="14"/>
      <x:c r="I19" s="14"/>
      <x:c r="J19" s="14"/>
    </x:row>
    <x:row r="20">
      <x:c r="A20" s="68"/>
      <x:c r="B20" s="68"/>
      <x:c r="C20" s="68"/>
    </x:row>
    <x:row r="21">
      <x:c r="A21" s="68"/>
      <x:c r="B21" s="68"/>
      <x:c r="C21" s="68"/>
    </x:row>
    <x:row r="22">
      <x:c r="A22" s="68"/>
      <x:c r="B22" s="68"/>
      <x:c r="C22" s="68"/>
    </x:row>
  </x:sheetData>
  <x:mergeCells>
    <x:mergeCell ref="A1:J1"/>
    <x:mergeCell ref="A13:C13"/>
    <x:mergeCell ref="A14:C22"/>
  </x:mergeCells>
  <x:pageMargins left="0.7" right="0.7" top="0.75" bottom="0.75" header="0.3" footer="0.3"/>
  <x:drawing xmlns:r="http://schemas.openxmlformats.org/officeDocument/2006/relationships" r:id="R64a476e38c704843"/>
</x:worksheet>
</file>